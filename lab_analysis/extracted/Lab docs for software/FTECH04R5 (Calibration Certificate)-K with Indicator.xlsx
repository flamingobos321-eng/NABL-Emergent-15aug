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L:\E\LAB Nilesh from 01-06-2020\JOB Record\Data 2026\6. JUN 2026\Job No. 219 International tractors\219.03 CER K\"/>
    </mc:Choice>
  </mc:AlternateContent>
  <xr:revisionPtr revIDLastSave="0" documentId="13_ncr:1_{566FA034-4D1A-455E-AF04-F7DFF755DCE4}" xr6:coauthVersionLast="47" xr6:coauthVersionMax="47" xr10:uidLastSave="{00000000-0000-0000-0000-000000000000}"/>
  <bookViews>
    <workbookView xWindow="1116" yWindow="216" windowWidth="14796" windowHeight="12012" xr2:uid="{00000000-000D-0000-FFFF-FFFF00000000}"/>
  </bookViews>
  <sheets>
    <sheet name="Calibration Certific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 r="I26" i="1"/>
  <c r="M7" i="1" l="1"/>
  <c r="I25" i="1" l="1"/>
  <c r="N4" i="1" l="1"/>
</calcChain>
</file>

<file path=xl/sharedStrings.xml><?xml version="1.0" encoding="utf-8"?>
<sst xmlns="http://schemas.openxmlformats.org/spreadsheetml/2006/main" count="80" uniqueCount="77">
  <si>
    <t>Name:</t>
  </si>
  <si>
    <t xml:space="preserve">Sr. No.:   </t>
  </si>
  <si>
    <t>Type:</t>
  </si>
  <si>
    <t>YOG</t>
  </si>
  <si>
    <t>Make:</t>
  </si>
  <si>
    <t>Range:</t>
  </si>
  <si>
    <t xml:space="preserve">Name
</t>
  </si>
  <si>
    <t>Calibration
 Validity</t>
  </si>
  <si>
    <t xml:space="preserve">Report No.
</t>
  </si>
  <si>
    <t>Calibrated By :</t>
  </si>
  <si>
    <t>Approved By :</t>
  </si>
  <si>
    <t>(Calibration Engineer)</t>
  </si>
  <si>
    <t>Mr. A. A. Kothe</t>
  </si>
  <si>
    <t>(Technical Manager)</t>
  </si>
  <si>
    <t>Nishitronics</t>
  </si>
  <si>
    <t>CALIBRATION CERTIFICATE</t>
  </si>
  <si>
    <t>5. Calibration Standards Used:</t>
  </si>
  <si>
    <t>Sr.
 No.</t>
  </si>
  <si>
    <t>7. Environmental Conditions:</t>
  </si>
  <si>
    <t>Ambient Temperature: 25 ±4 °C</t>
  </si>
  <si>
    <t>Humidity: 55 ±15 % RH</t>
  </si>
  <si>
    <t>Expanded Uncertainty
(±°C)</t>
  </si>
  <si>
    <t>Measured Value on
 UUC (°C)</t>
  </si>
  <si>
    <t xml:space="preserve">  UUC: Unit under Calibration</t>
  </si>
  <si>
    <t xml:space="preserve">A Sticker indicating “CALIBRATION STATUS” has been affixed on the UUC.      </t>
  </si>
  <si>
    <t>Calibration Points were selected as per customer’s specifications.</t>
  </si>
  <si>
    <t>The reported expanded UNCERTAINTY is calculated at 95.45 % of confidence level where coverage factor k=2.</t>
  </si>
  <si>
    <t>This certificate shall not be reproduced except in full, without written permission of the laboratory.</t>
  </si>
  <si>
    <t xml:space="preserve">7
</t>
  </si>
  <si>
    <t>Unless otherwise specified in the certificate, the results are applicable only to those products which have been calibrated and do not apply to other products even though declared to be identical.</t>
  </si>
  <si>
    <t xml:space="preserve">5
</t>
  </si>
  <si>
    <t>The calibration results reported in this certificate are related to this item only and valid at the time of and under stated condition of the measurement.</t>
  </si>
  <si>
    <t>The standards used for calibration were calibrated by using reference standard traceable to National / International Standard.</t>
  </si>
  <si>
    <t xml:space="preserve">2
</t>
  </si>
  <si>
    <t>9. Remarks:</t>
  </si>
  <si>
    <t>4. Description of Item (UUC):</t>
  </si>
  <si>
    <t>Certificate No.:</t>
  </si>
  <si>
    <t>ULR No.:</t>
  </si>
  <si>
    <t>Calibration Date:</t>
  </si>
  <si>
    <t>Issue Date:</t>
  </si>
  <si>
    <r>
      <t xml:space="preserve">2. Calibration Location: </t>
    </r>
    <r>
      <rPr>
        <sz val="11"/>
        <color theme="1"/>
        <rFont val="Calibri"/>
        <family val="2"/>
        <scheme val="minor"/>
      </rPr>
      <t>Calibration Lab</t>
    </r>
  </si>
  <si>
    <t>1. Calibrated For (Name &amp; Address):</t>
  </si>
  <si>
    <t>Job No.:</t>
  </si>
  <si>
    <t>Item Received Date:</t>
  </si>
  <si>
    <t>Recommended Date</t>
  </si>
  <si>
    <t xml:space="preserve"> for Next Calibration:</t>
  </si>
  <si>
    <t>CY/</t>
  </si>
  <si>
    <t xml:space="preserve">8. Calibration Results: </t>
  </si>
  <si>
    <t xml:space="preserve">Certified By
</t>
  </si>
  <si>
    <t>Standard Value 
(°C)</t>
  </si>
  <si>
    <t>Deviation 
(°C)</t>
  </si>
  <si>
    <t>ID No./
 Sr. No.</t>
  </si>
  <si>
    <t>Mr. N. H. Bodakhe</t>
  </si>
  <si>
    <t>(----End of the Certificate----)</t>
  </si>
  <si>
    <r>
      <t>3. Condition of Item on received:</t>
    </r>
    <r>
      <rPr>
        <sz val="11"/>
        <color theme="1"/>
        <rFont val="Calibri"/>
        <family val="2"/>
        <scheme val="minor"/>
      </rPr>
      <t xml:space="preserve"> OK</t>
    </r>
  </si>
  <si>
    <t>Above calibration done is meant for scientific &amp; industrial purpose only.</t>
  </si>
  <si>
    <t>Acc. Scope &amp; Cert.</t>
  </si>
  <si>
    <r>
      <t xml:space="preserve">6. Method Used For Calibration (Work Instruction Ref.): </t>
    </r>
    <r>
      <rPr>
        <sz val="11"/>
        <color theme="1"/>
        <rFont val="Calibri"/>
        <family val="2"/>
        <scheme val="minor"/>
      </rPr>
      <t>WI – TECH/11</t>
    </r>
  </si>
  <si>
    <t>Reference standard No.: EURAMET cg-8</t>
  </si>
  <si>
    <t>RTD Sensor with Indicator</t>
  </si>
  <si>
    <t>YOG-27, YOG-35</t>
  </si>
  <si>
    <t>Digital Thermometer</t>
  </si>
  <si>
    <t>YOG-36</t>
  </si>
  <si>
    <t>Unc of
Std (±°C)</t>
  </si>
  <si>
    <t>NI2026/01/0148</t>
  </si>
  <si>
    <t>NI2026/01/0160</t>
  </si>
  <si>
    <t>Thermocouple (with Laboratory's reference indicator)</t>
  </si>
  <si>
    <t>K</t>
  </si>
  <si>
    <t>0 to 800 °C</t>
  </si>
  <si>
    <t>S-Thermocouple with Indicator</t>
  </si>
  <si>
    <t>YOG-04, YOG-35</t>
  </si>
  <si>
    <t>NI2026/01/0150</t>
  </si>
  <si>
    <t>CY/2607/</t>
  </si>
  <si>
    <t>International Tractors Limited,</t>
  </si>
  <si>
    <t>Village Chak Gujran, P.O. Piplawala, Jalandhar Road,</t>
  </si>
  <si>
    <t xml:space="preserve">Hoshiarpur, Punjab-146022 </t>
  </si>
  <si>
    <t>CC324926000000567F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</si>
</sst>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F800]dddd\,\ mmmm\ dd\,\ yyyy"/>
    <numFmt numFmtId="165" formatCode="[$-14009]dd/mm/yyyy;@"/>
    <numFmt numFmtId="166" formatCode="000.00"/>
    <numFmt numFmtId="167" formatCode="0.00_ ;\-0.00\ "/>
    <numFmt numFmtId="168" formatCode="0.000"/>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sz val="10"/>
      <color theme="1"/>
      <name val="Calibri"/>
      <family val="2"/>
      <scheme val="minor"/>
    </font>
    <font>
      <sz val="8"/>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86">
    <xf numFmtId="0" fontId="0" fillId="0" borderId="0" xfId="0"/>
    <xf numFmtId="0" fontId="0" fillId="0" borderId="4" xfId="0" applyBorder="1"/>
    <xf numFmtId="0" fontId="0" fillId="0" borderId="0" xfId="0" applyAlignment="1">
      <alignment horizontal="center"/>
    </xf>
    <xf numFmtId="0" fontId="0" fillId="0" borderId="0" xfId="0" applyAlignment="1">
      <alignment wrapText="1"/>
    </xf>
    <xf numFmtId="0" fontId="0" fillId="0" borderId="1" xfId="0" applyBorder="1" applyAlignment="1">
      <alignment horizontal="center" wrapText="1"/>
    </xf>
    <xf numFmtId="0" fontId="0" fillId="0" borderId="1" xfId="0" applyBorder="1" applyAlignment="1">
      <alignment horizontal="center"/>
    </xf>
    <xf numFmtId="0" fontId="1" fillId="0" borderId="0" xfId="0" applyFont="1" applyAlignment="1">
      <alignment wrapText="1"/>
    </xf>
    <xf numFmtId="0" fontId="1" fillId="0" borderId="9" xfId="0" applyFont="1" applyBorder="1" applyAlignment="1">
      <alignment horizontal="left"/>
    </xf>
    <xf numFmtId="0" fontId="0" fillId="0" borderId="2" xfId="0" applyBorder="1" applyAlignment="1">
      <alignment horizontal="left"/>
    </xf>
    <xf numFmtId="0" fontId="1" fillId="0" borderId="0" xfId="0" applyFont="1" applyAlignment="1">
      <alignment horizontal="right" wrapText="1"/>
    </xf>
    <xf numFmtId="0" fontId="0" fillId="0" borderId="0" xfId="0" applyAlignment="1">
      <alignment horizontal="left"/>
    </xf>
    <xf numFmtId="0" fontId="1" fillId="0" borderId="3" xfId="0" applyFont="1" applyBorder="1" applyAlignment="1">
      <alignment horizontal="left"/>
    </xf>
    <xf numFmtId="0" fontId="1" fillId="0" borderId="0" xfId="0" applyFont="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0" fillId="0" borderId="0" xfId="0" applyAlignment="1">
      <alignment horizontal="right"/>
    </xf>
    <xf numFmtId="0" fontId="1" fillId="0" borderId="0" xfId="0" applyFont="1"/>
    <xf numFmtId="0" fontId="0" fillId="0" borderId="6" xfId="0" applyBorder="1"/>
    <xf numFmtId="0" fontId="0" fillId="0" borderId="2" xfId="0" applyBorder="1"/>
    <xf numFmtId="0" fontId="0" fillId="0" borderId="7" xfId="0" applyBorder="1"/>
    <xf numFmtId="0" fontId="1" fillId="0" borderId="2" xfId="0" applyFont="1" applyBorder="1"/>
    <xf numFmtId="14" fontId="1" fillId="0" borderId="2" xfId="0" applyNumberFormat="1" applyFont="1" applyBorder="1"/>
    <xf numFmtId="0" fontId="1" fillId="0" borderId="6" xfId="0" applyFont="1" applyBorder="1"/>
    <xf numFmtId="164" fontId="0" fillId="0" borderId="0" xfId="0" applyNumberFormat="1"/>
    <xf numFmtId="1" fontId="0" fillId="0" borderId="0" xfId="0" applyNumberFormat="1"/>
    <xf numFmtId="166" fontId="1" fillId="0" borderId="2" xfId="0" applyNumberFormat="1" applyFont="1" applyBorder="1" applyAlignment="1">
      <alignment horizontal="left"/>
    </xf>
    <xf numFmtId="166" fontId="0" fillId="0" borderId="0" xfId="0" applyNumberFormat="1" applyAlignment="1">
      <alignment horizontal="left"/>
    </xf>
    <xf numFmtId="0" fontId="1" fillId="0" borderId="2" xfId="0" applyFont="1" applyBorder="1" applyAlignment="1">
      <alignment horizontal="right"/>
    </xf>
    <xf numFmtId="0" fontId="4" fillId="0" borderId="0" xfId="1" applyNumberFormat="1" applyFont="1" applyBorder="1" applyAlignment="1">
      <alignment horizontal="center"/>
    </xf>
    <xf numFmtId="1" fontId="4" fillId="0" borderId="0" xfId="0" applyNumberFormat="1" applyFont="1" applyAlignment="1">
      <alignment horizontal="center" wrapText="1"/>
    </xf>
    <xf numFmtId="1" fontId="4" fillId="0" borderId="0" xfId="0" applyNumberFormat="1" applyFont="1" applyAlignment="1">
      <alignment horizontal="center"/>
    </xf>
    <xf numFmtId="0" fontId="0" fillId="0" borderId="0" xfId="0" applyAlignment="1">
      <alignment horizontal="left" vertical="center"/>
    </xf>
    <xf numFmtId="0" fontId="0" fillId="0" borderId="3" xfId="0" applyBorder="1"/>
    <xf numFmtId="0" fontId="0" fillId="0" borderId="1" xfId="0" applyBorder="1" applyAlignment="1">
      <alignment horizontal="center" vertical="center" wrapText="1"/>
    </xf>
    <xf numFmtId="168" fontId="0" fillId="0" borderId="1" xfId="0" applyNumberFormat="1" applyBorder="1" applyAlignment="1">
      <alignment horizontal="center" vertical="center" wrapText="1"/>
    </xf>
    <xf numFmtId="0" fontId="0" fillId="0" borderId="1" xfId="0" applyBorder="1" applyAlignment="1">
      <alignment horizontal="center" vertical="center"/>
    </xf>
    <xf numFmtId="167" fontId="0" fillId="0" borderId="1" xfId="0" applyNumberFormat="1" applyBorder="1" applyAlignment="1">
      <alignment horizontal="center" vertical="center"/>
    </xf>
    <xf numFmtId="2" fontId="0" fillId="0" borderId="1" xfId="0" applyNumberFormat="1" applyBorder="1" applyAlignment="1">
      <alignment horizontal="center"/>
    </xf>
    <xf numFmtId="0" fontId="1" fillId="0" borderId="0" xfId="0" applyFont="1" applyAlignment="1">
      <alignment horizontal="left"/>
    </xf>
    <xf numFmtId="2" fontId="0" fillId="0" borderId="1" xfId="0" applyNumberFormat="1" applyBorder="1" applyAlignment="1">
      <alignment horizontal="center" vertical="center"/>
    </xf>
    <xf numFmtId="0" fontId="0" fillId="0" borderId="1" xfId="0" applyBorder="1" applyAlignment="1">
      <alignment horizontal="center" wrapText="1"/>
    </xf>
    <xf numFmtId="0" fontId="4" fillId="0" borderId="0" xfId="0" applyFont="1" applyAlignment="1">
      <alignment horizontal="left" wrapText="1"/>
    </xf>
    <xf numFmtId="0" fontId="4"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0" borderId="2" xfId="0" applyBorder="1" applyAlignment="1">
      <alignment horizontal="left"/>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165" fontId="0" fillId="0" borderId="1" xfId="0" applyNumberFormat="1" applyBorder="1" applyAlignment="1">
      <alignment horizontal="center" vertic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2"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4" fillId="0" borderId="6" xfId="0" applyFont="1" applyBorder="1" applyAlignment="1">
      <alignment horizontal="left" wrapText="1"/>
    </xf>
    <xf numFmtId="0" fontId="1" fillId="0" borderId="2" xfId="0" applyFont="1" applyBorder="1" applyAlignment="1">
      <alignment horizontal="left"/>
    </xf>
    <xf numFmtId="0" fontId="0" fillId="0" borderId="0" xfId="0" applyAlignment="1">
      <alignment horizontal="left" vertical="center"/>
    </xf>
    <xf numFmtId="165" fontId="0" fillId="0" borderId="0" xfId="0" applyNumberFormat="1" applyAlignment="1">
      <alignment horizontal="left"/>
    </xf>
    <xf numFmtId="0" fontId="1" fillId="0" borderId="6" xfId="0" applyFont="1" applyBorder="1" applyAlignment="1">
      <alignment horizontal="center"/>
    </xf>
    <xf numFmtId="0" fontId="0" fillId="0" borderId="0" xfId="0" applyAlignment="1">
      <alignment vertical="center"/>
    </xf>
    <xf numFmtId="0" fontId="3" fillId="0" borderId="0" xfId="0" applyFont="1" applyAlignment="1">
      <alignment horizontal="center"/>
    </xf>
    <xf numFmtId="0" fontId="1" fillId="0" borderId="9" xfId="0" applyFont="1" applyBorder="1" applyAlignment="1">
      <alignment horizontal="center"/>
    </xf>
    <xf numFmtId="0" fontId="1" fillId="0" borderId="2" xfId="0" applyFont="1" applyBorder="1" applyAlignment="1">
      <alignment horizontal="center"/>
    </xf>
    <xf numFmtId="0" fontId="0" fillId="0" borderId="0" xfId="0" applyAlignment="1">
      <alignment horizontal="center" wrapText="1"/>
    </xf>
    <xf numFmtId="0" fontId="1" fillId="0" borderId="6" xfId="0" applyFont="1" applyBorder="1" applyAlignment="1">
      <alignment horizontal="left"/>
    </xf>
    <xf numFmtId="165" fontId="1" fillId="0" borderId="2" xfId="0" applyNumberFormat="1" applyFont="1" applyBorder="1" applyAlignment="1">
      <alignment horizontal="left"/>
    </xf>
    <xf numFmtId="165" fontId="1" fillId="0" borderId="8" xfId="0" applyNumberFormat="1" applyFont="1" applyBorder="1" applyAlignment="1">
      <alignment horizontal="left"/>
    </xf>
    <xf numFmtId="0" fontId="1" fillId="0" borderId="5" xfId="0" applyFont="1" applyBorder="1" applyAlignment="1">
      <alignment horizontal="center"/>
    </xf>
    <xf numFmtId="165" fontId="1" fillId="0" borderId="6" xfId="0" applyNumberFormat="1" applyFont="1" applyBorder="1" applyAlignment="1">
      <alignment horizontal="left"/>
    </xf>
    <xf numFmtId="165" fontId="1" fillId="0" borderId="7" xfId="0" applyNumberFormat="1" applyFont="1" applyBorder="1" applyAlignment="1">
      <alignment horizontal="left"/>
    </xf>
    <xf numFmtId="0" fontId="0" fillId="0" borderId="12"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5" fontId="0" fillId="0" borderId="10" xfId="0" applyNumberFormat="1" applyBorder="1" applyAlignment="1">
      <alignment horizontal="center" vertical="center" wrapText="1"/>
    </xf>
    <xf numFmtId="165" fontId="0" fillId="0" borderId="11" xfId="0" applyNumberForma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331675</xdr:colOff>
      <xdr:row>37</xdr:row>
      <xdr:rowOff>17010</xdr:rowOff>
    </xdr:from>
    <xdr:to>
      <xdr:col>13</xdr:col>
      <xdr:colOff>256222</xdr:colOff>
      <xdr:row>41</xdr:row>
      <xdr:rowOff>105637</xdr:rowOff>
    </xdr:to>
    <xdr:pic>
      <xdr:nvPicPr>
        <xdr:cNvPr id="4" name="Picture 3">
          <a:extLst>
            <a:ext uri="{FF2B5EF4-FFF2-40B4-BE49-F238E27FC236}">
              <a16:creationId xmlns:a16="http://schemas.microsoft.com/office/drawing/2014/main" id="{B991CD4A-D109-4C70-84AE-C1C22E33E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3250" y="7046460"/>
          <a:ext cx="715122" cy="721360"/>
        </a:xfrm>
        <a:prstGeom prst="rect">
          <a:avLst/>
        </a:prstGeom>
      </xdr:spPr>
    </xdr:pic>
    <xdr:clientData/>
  </xdr:twoCellAnchor>
  <xdr:twoCellAnchor editAs="oneCell">
    <xdr:from>
      <xdr:col>1</xdr:col>
      <xdr:colOff>0</xdr:colOff>
      <xdr:row>37</xdr:row>
      <xdr:rowOff>0</xdr:rowOff>
    </xdr:from>
    <xdr:to>
      <xdr:col>2</xdr:col>
      <xdr:colOff>235906</xdr:colOff>
      <xdr:row>41</xdr:row>
      <xdr:rowOff>92470</xdr:rowOff>
    </xdr:to>
    <xdr:pic>
      <xdr:nvPicPr>
        <xdr:cNvPr id="3" name="Picture 2">
          <a:extLst>
            <a:ext uri="{FF2B5EF4-FFF2-40B4-BE49-F238E27FC236}">
              <a16:creationId xmlns:a16="http://schemas.microsoft.com/office/drawing/2014/main" id="{30EDDDA1-AD79-B096-1E8A-864956D823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1694" y="7727576"/>
          <a:ext cx="720000" cy="72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8"/>
  <sheetViews>
    <sheetView tabSelected="1" view="pageLayout" zoomScale="85" zoomScaleNormal="112" zoomScaleSheetLayoutView="73" zoomScalePageLayoutView="85" workbookViewId="0">
      <selection activeCell="K12" sqref="K12:M12"/>
    </sheetView>
  </sheetViews>
  <sheetFormatPr defaultRowHeight="14.4" x14ac:dyDescent="0.3"/>
  <cols>
    <col min="1" max="1" width="4.5546875" customWidth="1"/>
    <col min="2" max="2" width="6.6640625" customWidth="1"/>
    <col min="3" max="3" width="6.44140625" customWidth="1"/>
    <col min="4" max="4" width="8.44140625" customWidth="1"/>
    <col min="5" max="5" width="8" customWidth="1"/>
    <col min="6" max="6" width="5.33203125" customWidth="1"/>
    <col min="7" max="7" width="3.6640625" customWidth="1"/>
    <col min="8" max="8" width="7.5546875" customWidth="1"/>
    <col min="9" max="9" width="5.44140625" customWidth="1"/>
    <col min="10" max="11" width="6.6640625" customWidth="1"/>
    <col min="12" max="12" width="4.88671875" customWidth="1"/>
    <col min="13" max="13" width="6.109375" customWidth="1"/>
    <col min="14" max="14" width="8.44140625" customWidth="1"/>
    <col min="17" max="17" width="7.33203125" customWidth="1"/>
    <col min="18" max="18" width="14.109375" customWidth="1"/>
    <col min="19" max="19" width="9" customWidth="1"/>
  </cols>
  <sheetData>
    <row r="1" spans="1:29" ht="15" customHeight="1" x14ac:dyDescent="0.35">
      <c r="A1" s="70" t="s">
        <v>15</v>
      </c>
      <c r="B1" s="70"/>
      <c r="C1" s="70"/>
      <c r="D1" s="70"/>
      <c r="E1" s="70"/>
      <c r="F1" s="70"/>
      <c r="G1" s="70"/>
      <c r="H1" s="70"/>
      <c r="I1" s="70"/>
      <c r="J1" s="70"/>
      <c r="K1" s="70"/>
      <c r="L1" s="70"/>
      <c r="M1" s="70"/>
      <c r="N1" s="70"/>
      <c r="O1" s="16"/>
      <c r="P1" s="16"/>
      <c r="Q1" s="16"/>
      <c r="R1" s="16"/>
      <c r="S1" s="16"/>
    </row>
    <row r="2" spans="1:29" x14ac:dyDescent="0.3">
      <c r="A2" s="71" t="s">
        <v>36</v>
      </c>
      <c r="B2" s="72"/>
      <c r="C2" s="72"/>
      <c r="D2" s="27" t="s">
        <v>72</v>
      </c>
      <c r="E2" s="25">
        <v>219.03</v>
      </c>
      <c r="F2" s="25"/>
      <c r="G2" s="25"/>
      <c r="H2" s="20"/>
      <c r="I2" s="21"/>
      <c r="J2" s="72" t="s">
        <v>38</v>
      </c>
      <c r="K2" s="72"/>
      <c r="L2" s="72"/>
      <c r="M2" s="75">
        <v>46234</v>
      </c>
      <c r="N2" s="76"/>
      <c r="O2" s="10"/>
      <c r="P2" s="10"/>
      <c r="Q2" s="10"/>
      <c r="R2" s="10"/>
      <c r="S2" s="12"/>
    </row>
    <row r="3" spans="1:29" ht="13.5" customHeight="1" x14ac:dyDescent="0.3">
      <c r="A3" s="77" t="s">
        <v>37</v>
      </c>
      <c r="B3" s="68"/>
      <c r="C3" s="68"/>
      <c r="D3" s="74" t="s">
        <v>76</v>
      </c>
      <c r="E3" s="74"/>
      <c r="F3" s="74"/>
      <c r="G3" s="14"/>
      <c r="H3" s="22"/>
      <c r="I3" s="22"/>
      <c r="J3" s="68" t="s">
        <v>39</v>
      </c>
      <c r="K3" s="68"/>
      <c r="L3" s="68"/>
      <c r="M3" s="78">
        <v>46235</v>
      </c>
      <c r="N3" s="79"/>
      <c r="U3" s="16"/>
      <c r="V3" s="16"/>
      <c r="W3" s="16"/>
      <c r="X3" s="16"/>
      <c r="Y3" s="16"/>
      <c r="Z3" s="16"/>
      <c r="AA3" s="16"/>
      <c r="AB3" s="16"/>
      <c r="AC3" s="16"/>
    </row>
    <row r="4" spans="1:29" x14ac:dyDescent="0.3">
      <c r="A4" s="65" t="s">
        <v>41</v>
      </c>
      <c r="B4" s="65"/>
      <c r="C4" s="65"/>
      <c r="D4" s="65"/>
      <c r="E4" s="65"/>
      <c r="F4" s="65"/>
      <c r="G4" s="65"/>
      <c r="H4" s="65"/>
      <c r="J4" s="44" t="s">
        <v>42</v>
      </c>
      <c r="K4" s="44"/>
      <c r="L4" s="44"/>
      <c r="M4" s="15" t="s">
        <v>46</v>
      </c>
      <c r="N4" s="26">
        <f>E2</f>
        <v>219.03</v>
      </c>
      <c r="U4" s="16"/>
      <c r="V4" s="16"/>
      <c r="W4" s="16"/>
      <c r="X4" s="16"/>
      <c r="Y4" s="16"/>
      <c r="Z4" s="16"/>
      <c r="AA4" s="16"/>
      <c r="AB4" s="16"/>
      <c r="AC4" s="16"/>
    </row>
    <row r="5" spans="1:29" ht="13.5" customHeight="1" x14ac:dyDescent="0.3">
      <c r="A5" s="12"/>
      <c r="B5" s="43" t="s">
        <v>73</v>
      </c>
      <c r="C5" s="43"/>
      <c r="D5" s="43"/>
      <c r="E5" s="43"/>
      <c r="F5" s="43"/>
      <c r="G5" s="43"/>
      <c r="H5" s="43"/>
      <c r="I5" s="43"/>
      <c r="J5" s="44" t="s">
        <v>43</v>
      </c>
      <c r="K5" s="44"/>
      <c r="L5" s="44"/>
      <c r="M5" s="67">
        <v>46232</v>
      </c>
      <c r="N5" s="67"/>
      <c r="U5" s="16"/>
      <c r="V5" s="16"/>
      <c r="W5" s="16"/>
      <c r="X5" s="16"/>
      <c r="Y5" s="16"/>
      <c r="Z5" s="16"/>
      <c r="AA5" s="16"/>
      <c r="AB5" s="16"/>
      <c r="AC5" s="16"/>
    </row>
    <row r="6" spans="1:29" ht="12.75" customHeight="1" x14ac:dyDescent="0.3">
      <c r="A6" s="12"/>
      <c r="B6" s="43" t="s">
        <v>74</v>
      </c>
      <c r="C6" s="43"/>
      <c r="D6" s="43"/>
      <c r="E6" s="43"/>
      <c r="F6" s="43"/>
      <c r="G6" s="43"/>
      <c r="H6" s="43"/>
      <c r="I6" s="43"/>
      <c r="J6" s="44" t="s">
        <v>44</v>
      </c>
      <c r="K6" s="44"/>
      <c r="L6" s="44"/>
      <c r="M6" s="67"/>
      <c r="N6" s="67"/>
      <c r="R6" s="23"/>
      <c r="U6" s="16"/>
      <c r="V6" s="16"/>
      <c r="W6" s="16"/>
      <c r="X6" s="16"/>
      <c r="Y6" s="16"/>
      <c r="Z6" s="16"/>
      <c r="AA6" s="16"/>
      <c r="AB6" s="16"/>
      <c r="AC6" s="16"/>
    </row>
    <row r="7" spans="1:29" ht="12.75" customHeight="1" x14ac:dyDescent="0.3">
      <c r="A7" s="12"/>
      <c r="B7" s="43" t="s">
        <v>75</v>
      </c>
      <c r="C7" s="43"/>
      <c r="D7" s="43"/>
      <c r="E7" s="43"/>
      <c r="F7" s="43"/>
      <c r="G7" s="43"/>
      <c r="H7" s="43"/>
      <c r="I7" s="43"/>
      <c r="J7" s="73" t="s">
        <v>45</v>
      </c>
      <c r="K7" s="44"/>
      <c r="L7" s="44"/>
      <c r="M7" s="67">
        <f>DATE(YEAR(M2),MONTH(M2),DAY(M2)+364)</f>
        <v>46598</v>
      </c>
      <c r="N7" s="67"/>
      <c r="U7" s="16"/>
      <c r="V7" s="16"/>
      <c r="W7" s="16"/>
      <c r="X7" s="16"/>
      <c r="Y7" s="16"/>
      <c r="Z7" s="16"/>
      <c r="AA7" s="16"/>
      <c r="AB7" s="16"/>
      <c r="AC7" s="16"/>
    </row>
    <row r="8" spans="1:29" ht="13.5" customHeight="1" x14ac:dyDescent="0.3">
      <c r="A8" s="38" t="s">
        <v>40</v>
      </c>
      <c r="B8" s="38"/>
      <c r="C8" s="38"/>
      <c r="D8" s="38"/>
      <c r="E8" s="38"/>
      <c r="F8" s="38"/>
      <c r="G8" s="38"/>
      <c r="H8" s="38"/>
      <c r="I8" s="38"/>
      <c r="J8" s="38"/>
      <c r="K8" s="38"/>
      <c r="L8" s="38"/>
      <c r="M8" s="38"/>
      <c r="N8" s="38"/>
      <c r="U8" s="16"/>
      <c r="V8" s="16"/>
      <c r="W8" s="16"/>
      <c r="X8" s="16"/>
      <c r="Y8" s="16"/>
      <c r="Z8" s="16"/>
      <c r="AA8" s="16"/>
      <c r="AB8" s="16"/>
      <c r="AC8" s="16"/>
    </row>
    <row r="9" spans="1:29" ht="12.75" customHeight="1" x14ac:dyDescent="0.3">
      <c r="A9" s="38" t="s">
        <v>54</v>
      </c>
      <c r="B9" s="38"/>
      <c r="C9" s="38"/>
      <c r="D9" s="38"/>
      <c r="E9" s="38"/>
      <c r="F9" s="38"/>
      <c r="G9" s="38"/>
      <c r="H9" s="38"/>
      <c r="I9" s="38"/>
      <c r="J9" s="38"/>
      <c r="K9" s="38"/>
      <c r="L9" s="38"/>
      <c r="M9" s="38"/>
      <c r="N9" s="38"/>
      <c r="R9" s="24"/>
      <c r="U9" s="16"/>
      <c r="V9" s="16"/>
      <c r="W9" s="16"/>
      <c r="X9" s="16"/>
      <c r="Y9" s="16"/>
      <c r="Z9" s="16"/>
      <c r="AA9" s="16"/>
      <c r="AB9" s="16"/>
      <c r="AC9" s="16"/>
    </row>
    <row r="10" spans="1:29" ht="14.25" customHeight="1" x14ac:dyDescent="0.3">
      <c r="A10" s="38" t="s">
        <v>35</v>
      </c>
      <c r="B10" s="38"/>
      <c r="C10" s="38"/>
      <c r="D10" s="38"/>
      <c r="E10" s="38"/>
      <c r="F10" s="38"/>
      <c r="G10" s="38"/>
      <c r="H10" s="38"/>
      <c r="I10" s="38"/>
      <c r="J10" s="38"/>
      <c r="K10" s="38"/>
      <c r="L10" s="38"/>
      <c r="M10" s="38"/>
      <c r="N10" s="38"/>
      <c r="V10" s="3"/>
      <c r="W10" s="3"/>
      <c r="X10" s="3"/>
      <c r="Y10" s="3"/>
      <c r="Z10" s="3"/>
      <c r="AA10" s="9"/>
      <c r="AB10" s="6"/>
      <c r="AC10" s="3"/>
    </row>
    <row r="11" spans="1:29" ht="13.5" customHeight="1" x14ac:dyDescent="0.3">
      <c r="B11" s="10" t="s">
        <v>0</v>
      </c>
      <c r="C11" s="31" t="s">
        <v>66</v>
      </c>
      <c r="D11" s="31"/>
      <c r="E11" s="31"/>
      <c r="F11" s="31"/>
      <c r="G11" s="31"/>
      <c r="H11" s="10"/>
      <c r="I11" s="10"/>
      <c r="J11" s="31"/>
      <c r="K11" s="66"/>
      <c r="L11" s="66"/>
      <c r="M11" s="66"/>
    </row>
    <row r="12" spans="1:29" ht="13.5" customHeight="1" x14ac:dyDescent="0.3">
      <c r="B12" s="10" t="s">
        <v>1</v>
      </c>
      <c r="C12" s="43">
        <v>26072764</v>
      </c>
      <c r="D12" s="43"/>
      <c r="E12" s="43"/>
      <c r="F12" s="43"/>
      <c r="G12" s="43"/>
      <c r="J12" s="31" t="s">
        <v>4</v>
      </c>
      <c r="K12" s="66" t="s">
        <v>3</v>
      </c>
      <c r="L12" s="66"/>
      <c r="M12" s="66"/>
    </row>
    <row r="13" spans="1:29" ht="13.8" customHeight="1" x14ac:dyDescent="0.3">
      <c r="B13" t="s">
        <v>2</v>
      </c>
      <c r="C13" s="43" t="s">
        <v>67</v>
      </c>
      <c r="D13" s="43"/>
      <c r="E13" s="43"/>
      <c r="F13" s="43"/>
      <c r="G13" s="43"/>
      <c r="J13" s="31" t="s">
        <v>5</v>
      </c>
      <c r="K13" s="69" t="s">
        <v>68</v>
      </c>
      <c r="L13" s="69"/>
      <c r="M13" s="69"/>
    </row>
    <row r="14" spans="1:29" x14ac:dyDescent="0.3">
      <c r="A14" s="38" t="s">
        <v>16</v>
      </c>
      <c r="B14" s="38"/>
      <c r="C14" s="38"/>
      <c r="D14" s="38"/>
      <c r="E14" s="38"/>
      <c r="F14" s="38"/>
      <c r="G14" s="38"/>
      <c r="H14" s="38"/>
      <c r="I14" s="38"/>
      <c r="J14" s="38"/>
      <c r="K14" s="38"/>
      <c r="L14" s="38"/>
      <c r="M14" s="38"/>
      <c r="N14" s="38"/>
    </row>
    <row r="15" spans="1:29" ht="29.25" customHeight="1" x14ac:dyDescent="0.3">
      <c r="A15" s="4" t="s">
        <v>17</v>
      </c>
      <c r="B15" s="40" t="s">
        <v>6</v>
      </c>
      <c r="C15" s="40"/>
      <c r="D15" s="40"/>
      <c r="E15" s="4" t="s">
        <v>63</v>
      </c>
      <c r="F15" s="51" t="s">
        <v>51</v>
      </c>
      <c r="G15" s="52"/>
      <c r="H15" s="40" t="s">
        <v>48</v>
      </c>
      <c r="I15" s="40"/>
      <c r="J15" s="40" t="s">
        <v>8</v>
      </c>
      <c r="K15" s="40"/>
      <c r="L15" s="40"/>
      <c r="M15" s="40" t="s">
        <v>7</v>
      </c>
      <c r="N15" s="40"/>
    </row>
    <row r="16" spans="1:29" ht="29.25" customHeight="1" x14ac:dyDescent="0.3">
      <c r="A16" s="33">
        <v>1</v>
      </c>
      <c r="B16" s="47" t="s">
        <v>59</v>
      </c>
      <c r="C16" s="47"/>
      <c r="D16" s="47"/>
      <c r="E16" s="34">
        <v>0.06</v>
      </c>
      <c r="F16" s="48" t="s">
        <v>60</v>
      </c>
      <c r="G16" s="49"/>
      <c r="H16" s="46" t="s">
        <v>14</v>
      </c>
      <c r="I16" s="46"/>
      <c r="J16" s="47" t="s">
        <v>64</v>
      </c>
      <c r="K16" s="47"/>
      <c r="L16" s="47"/>
      <c r="M16" s="50">
        <v>46395</v>
      </c>
      <c r="N16" s="50"/>
    </row>
    <row r="17" spans="1:21" ht="29.25" customHeight="1" x14ac:dyDescent="0.3">
      <c r="A17" s="33">
        <v>2</v>
      </c>
      <c r="B17" s="48" t="s">
        <v>69</v>
      </c>
      <c r="C17" s="80"/>
      <c r="D17" s="49"/>
      <c r="E17" s="34">
        <v>1.0209999999999999</v>
      </c>
      <c r="F17" s="48" t="s">
        <v>70</v>
      </c>
      <c r="G17" s="49"/>
      <c r="H17" s="81" t="s">
        <v>14</v>
      </c>
      <c r="I17" s="82"/>
      <c r="J17" s="81" t="s">
        <v>71</v>
      </c>
      <c r="K17" s="83"/>
      <c r="L17" s="82"/>
      <c r="M17" s="84">
        <v>46395</v>
      </c>
      <c r="N17" s="85"/>
    </row>
    <row r="18" spans="1:21" ht="14.25" customHeight="1" x14ac:dyDescent="0.3">
      <c r="A18" s="35">
        <v>3</v>
      </c>
      <c r="B18" s="47" t="s">
        <v>61</v>
      </c>
      <c r="C18" s="47"/>
      <c r="D18" s="47"/>
      <c r="E18" s="34">
        <v>0.48</v>
      </c>
      <c r="F18" s="48" t="s">
        <v>62</v>
      </c>
      <c r="G18" s="49"/>
      <c r="H18" s="46" t="s">
        <v>14</v>
      </c>
      <c r="I18" s="46"/>
      <c r="J18" s="46" t="s">
        <v>65</v>
      </c>
      <c r="K18" s="46"/>
      <c r="L18" s="46"/>
      <c r="M18" s="50">
        <v>46394</v>
      </c>
      <c r="N18" s="50"/>
    </row>
    <row r="19" spans="1:21" ht="15" customHeight="1" x14ac:dyDescent="0.3">
      <c r="A19" s="38" t="s">
        <v>57</v>
      </c>
      <c r="B19" s="38"/>
      <c r="C19" s="38"/>
      <c r="D19" s="38"/>
      <c r="E19" s="38"/>
      <c r="F19" s="38"/>
      <c r="G19" s="38"/>
      <c r="H19" s="38"/>
      <c r="I19" s="38"/>
      <c r="J19" s="38"/>
      <c r="K19" s="38"/>
      <c r="L19" s="38"/>
      <c r="M19" s="38"/>
      <c r="N19" s="38"/>
    </row>
    <row r="20" spans="1:21" ht="13.5" customHeight="1" x14ac:dyDescent="0.3">
      <c r="A20" s="12"/>
      <c r="B20" s="43" t="s">
        <v>58</v>
      </c>
      <c r="C20" s="38"/>
      <c r="D20" s="38"/>
      <c r="E20" s="38"/>
      <c r="F20" s="38"/>
      <c r="G20" s="38"/>
      <c r="H20" s="38"/>
      <c r="I20" s="38"/>
      <c r="J20" s="38"/>
      <c r="K20" s="38"/>
      <c r="L20" s="38"/>
      <c r="M20" s="38"/>
      <c r="N20" s="38"/>
    </row>
    <row r="21" spans="1:21" ht="15" customHeight="1" x14ac:dyDescent="0.3">
      <c r="A21" s="16" t="s">
        <v>18</v>
      </c>
      <c r="B21" s="16"/>
      <c r="C21" s="16"/>
      <c r="D21" s="16"/>
      <c r="E21" s="44" t="s">
        <v>20</v>
      </c>
      <c r="F21" s="44"/>
      <c r="G21" s="44"/>
      <c r="H21" s="44"/>
      <c r="J21" s="44" t="s">
        <v>19</v>
      </c>
      <c r="K21" s="44"/>
      <c r="L21" s="44"/>
      <c r="M21" s="44"/>
      <c r="N21" s="44"/>
    </row>
    <row r="22" spans="1:21" ht="15" customHeight="1" x14ac:dyDescent="0.3">
      <c r="A22" s="38" t="s">
        <v>47</v>
      </c>
      <c r="B22" s="38"/>
      <c r="C22" s="38"/>
      <c r="D22" s="38"/>
      <c r="E22" s="38"/>
      <c r="F22" s="38"/>
      <c r="G22" s="38"/>
      <c r="H22" s="38"/>
      <c r="I22" s="38"/>
      <c r="J22" s="38"/>
      <c r="K22" s="38"/>
      <c r="L22" s="38"/>
      <c r="M22" s="38"/>
      <c r="N22" s="38"/>
      <c r="T22" s="3"/>
      <c r="U22" s="3"/>
    </row>
    <row r="23" spans="1:21" ht="29.25" customHeight="1" x14ac:dyDescent="0.3">
      <c r="A23" s="4" t="s">
        <v>17</v>
      </c>
      <c r="B23" s="40" t="s">
        <v>49</v>
      </c>
      <c r="C23" s="40"/>
      <c r="D23" s="40"/>
      <c r="E23" s="40" t="s">
        <v>22</v>
      </c>
      <c r="F23" s="40"/>
      <c r="G23" s="40"/>
      <c r="H23" s="40"/>
      <c r="I23" s="40" t="s">
        <v>50</v>
      </c>
      <c r="J23" s="40"/>
      <c r="K23" s="40"/>
      <c r="L23" s="40" t="s">
        <v>21</v>
      </c>
      <c r="M23" s="40"/>
      <c r="N23" s="40"/>
    </row>
    <row r="24" spans="1:21" ht="14.25" customHeight="1" x14ac:dyDescent="0.3">
      <c r="A24" s="5">
        <v>1</v>
      </c>
      <c r="B24" s="39">
        <v>100.08</v>
      </c>
      <c r="C24" s="39"/>
      <c r="D24" s="39"/>
      <c r="E24" s="37">
        <v>99.15</v>
      </c>
      <c r="F24" s="37"/>
      <c r="G24" s="37"/>
      <c r="H24" s="37"/>
      <c r="I24" s="37">
        <f>E24-B24</f>
        <v>-0.92999999999999261</v>
      </c>
      <c r="J24" s="37"/>
      <c r="K24" s="37"/>
      <c r="L24" s="37">
        <v>0.61</v>
      </c>
      <c r="M24" s="37"/>
      <c r="N24" s="37"/>
    </row>
    <row r="25" spans="1:21" ht="14.25" customHeight="1" x14ac:dyDescent="0.3">
      <c r="A25" s="5">
        <v>2</v>
      </c>
      <c r="B25" s="36">
        <v>400.09</v>
      </c>
      <c r="C25" s="36"/>
      <c r="D25" s="36"/>
      <c r="E25" s="37">
        <v>398.58</v>
      </c>
      <c r="F25" s="37"/>
      <c r="G25" s="37"/>
      <c r="H25" s="37"/>
      <c r="I25" s="37">
        <f>E25-B25</f>
        <v>-1.5099999999999909</v>
      </c>
      <c r="J25" s="37"/>
      <c r="K25" s="37"/>
      <c r="L25" s="37">
        <v>0.66</v>
      </c>
      <c r="M25" s="37"/>
      <c r="N25" s="37"/>
    </row>
    <row r="26" spans="1:21" ht="14.25" customHeight="1" x14ac:dyDescent="0.3">
      <c r="A26" s="5">
        <v>3</v>
      </c>
      <c r="B26" s="36">
        <v>700.43</v>
      </c>
      <c r="C26" s="36"/>
      <c r="D26" s="36"/>
      <c r="E26" s="37">
        <v>698.36</v>
      </c>
      <c r="F26" s="37"/>
      <c r="G26" s="37"/>
      <c r="H26" s="37"/>
      <c r="I26" s="37">
        <f t="shared" ref="I26" si="0">E26-B26</f>
        <v>-2.0699999999999363</v>
      </c>
      <c r="J26" s="37"/>
      <c r="K26" s="37"/>
      <c r="L26" s="37">
        <v>1.63</v>
      </c>
      <c r="M26" s="37"/>
      <c r="N26" s="37"/>
    </row>
    <row r="27" spans="1:21" ht="14.25" customHeight="1" x14ac:dyDescent="0.3">
      <c r="A27" s="45" t="s">
        <v>23</v>
      </c>
      <c r="B27" s="45"/>
      <c r="C27" s="45"/>
      <c r="D27" s="45"/>
      <c r="E27" s="45"/>
      <c r="F27" s="45"/>
      <c r="G27" s="45"/>
      <c r="H27" s="45"/>
      <c r="I27" s="45"/>
      <c r="J27" s="45"/>
      <c r="K27" s="45"/>
      <c r="L27" s="45"/>
      <c r="M27" s="45"/>
      <c r="N27" s="45"/>
    </row>
    <row r="28" spans="1:21" ht="14.25" customHeight="1" x14ac:dyDescent="0.3">
      <c r="A28" s="38" t="s">
        <v>34</v>
      </c>
      <c r="B28" s="38"/>
      <c r="C28" s="38"/>
      <c r="D28" s="38"/>
      <c r="E28" s="38"/>
      <c r="F28" s="38"/>
      <c r="G28" s="38"/>
      <c r="H28" s="38"/>
      <c r="I28" s="38"/>
      <c r="J28" s="38"/>
      <c r="K28" s="38"/>
      <c r="L28" s="38"/>
      <c r="M28" s="38"/>
      <c r="N28" s="38"/>
    </row>
    <row r="29" spans="1:21" ht="12.75" customHeight="1" x14ac:dyDescent="0.3">
      <c r="A29" s="28">
        <v>1</v>
      </c>
      <c r="B29" s="42" t="s">
        <v>24</v>
      </c>
      <c r="C29" s="42"/>
      <c r="D29" s="42"/>
      <c r="E29" s="42"/>
      <c r="F29" s="42"/>
      <c r="G29" s="42"/>
      <c r="H29" s="42"/>
      <c r="I29" s="42"/>
      <c r="J29" s="42"/>
      <c r="K29" s="42"/>
      <c r="L29" s="42"/>
      <c r="M29" s="42"/>
      <c r="N29" s="42"/>
    </row>
    <row r="30" spans="1:21" ht="26.25" customHeight="1" x14ac:dyDescent="0.3">
      <c r="A30" s="29" t="s">
        <v>33</v>
      </c>
      <c r="B30" s="41" t="s">
        <v>32</v>
      </c>
      <c r="C30" s="42"/>
      <c r="D30" s="42"/>
      <c r="E30" s="42"/>
      <c r="F30" s="42"/>
      <c r="G30" s="42"/>
      <c r="H30" s="42"/>
      <c r="I30" s="42"/>
      <c r="J30" s="42"/>
      <c r="K30" s="42"/>
      <c r="L30" s="42"/>
      <c r="M30" s="42"/>
      <c r="N30" s="42"/>
    </row>
    <row r="31" spans="1:21" ht="12.75" customHeight="1" x14ac:dyDescent="0.3">
      <c r="A31" s="30">
        <v>3</v>
      </c>
      <c r="B31" s="42" t="s">
        <v>26</v>
      </c>
      <c r="C31" s="42"/>
      <c r="D31" s="42"/>
      <c r="E31" s="42"/>
      <c r="F31" s="42"/>
      <c r="G31" s="42"/>
      <c r="H31" s="42"/>
      <c r="I31" s="42"/>
      <c r="J31" s="42"/>
      <c r="K31" s="42"/>
      <c r="L31" s="42"/>
      <c r="M31" s="42"/>
      <c r="N31" s="42"/>
    </row>
    <row r="32" spans="1:21" ht="14.25" customHeight="1" x14ac:dyDescent="0.3">
      <c r="A32" s="30">
        <v>4</v>
      </c>
      <c r="B32" s="42" t="s">
        <v>25</v>
      </c>
      <c r="C32" s="42"/>
      <c r="D32" s="42"/>
      <c r="E32" s="42"/>
      <c r="F32" s="42"/>
      <c r="G32" s="42"/>
      <c r="H32" s="42"/>
      <c r="I32" s="42"/>
      <c r="J32" s="42"/>
      <c r="K32" s="42"/>
      <c r="L32" s="42"/>
      <c r="M32" s="42"/>
      <c r="N32" s="42"/>
    </row>
    <row r="33" spans="1:14" ht="26.25" customHeight="1" x14ac:dyDescent="0.3">
      <c r="A33" s="29" t="s">
        <v>30</v>
      </c>
      <c r="B33" s="41" t="s">
        <v>31</v>
      </c>
      <c r="C33" s="41"/>
      <c r="D33" s="41"/>
      <c r="E33" s="41"/>
      <c r="F33" s="41"/>
      <c r="G33" s="41"/>
      <c r="H33" s="41"/>
      <c r="I33" s="41"/>
      <c r="J33" s="41"/>
      <c r="K33" s="41"/>
      <c r="L33" s="41"/>
      <c r="M33" s="41"/>
      <c r="N33" s="41"/>
    </row>
    <row r="34" spans="1:14" ht="12.75" customHeight="1" x14ac:dyDescent="0.3">
      <c r="A34" s="30">
        <v>6</v>
      </c>
      <c r="B34" s="42" t="s">
        <v>27</v>
      </c>
      <c r="C34" s="42"/>
      <c r="D34" s="42"/>
      <c r="E34" s="42"/>
      <c r="F34" s="42"/>
      <c r="G34" s="42"/>
      <c r="H34" s="42"/>
      <c r="I34" s="42"/>
      <c r="J34" s="42"/>
      <c r="K34" s="42"/>
      <c r="L34" s="42"/>
      <c r="M34" s="42"/>
      <c r="N34" s="42"/>
    </row>
    <row r="35" spans="1:14" ht="27" customHeight="1" x14ac:dyDescent="0.3">
      <c r="A35" s="29" t="s">
        <v>28</v>
      </c>
      <c r="B35" s="41" t="s">
        <v>29</v>
      </c>
      <c r="C35" s="42"/>
      <c r="D35" s="42"/>
      <c r="E35" s="42"/>
      <c r="F35" s="42"/>
      <c r="G35" s="42"/>
      <c r="H35" s="42"/>
      <c r="I35" s="42"/>
      <c r="J35" s="42"/>
      <c r="K35" s="42"/>
      <c r="L35" s="42"/>
      <c r="M35" s="42"/>
      <c r="N35" s="42"/>
    </row>
    <row r="36" spans="1:14" ht="13.5" customHeight="1" x14ac:dyDescent="0.3">
      <c r="A36" s="29">
        <v>8</v>
      </c>
      <c r="B36" s="64" t="s">
        <v>55</v>
      </c>
      <c r="C36" s="64"/>
      <c r="D36" s="64"/>
      <c r="E36" s="64"/>
      <c r="F36" s="64"/>
      <c r="G36" s="64"/>
      <c r="H36" s="64"/>
      <c r="I36" s="64"/>
      <c r="J36" s="64"/>
      <c r="K36" s="64"/>
      <c r="L36" s="64"/>
      <c r="M36" s="64"/>
      <c r="N36" s="64"/>
    </row>
    <row r="37" spans="1:14" ht="15" customHeight="1" x14ac:dyDescent="0.3">
      <c r="A37" s="7"/>
      <c r="B37" s="8"/>
      <c r="C37" s="8"/>
      <c r="D37" s="54" t="s">
        <v>9</v>
      </c>
      <c r="E37" s="53"/>
      <c r="F37" s="53"/>
      <c r="G37" s="18"/>
      <c r="H37" s="18"/>
      <c r="I37" s="53" t="s">
        <v>10</v>
      </c>
      <c r="J37" s="53"/>
      <c r="K37" s="58"/>
      <c r="L37" s="59" t="s">
        <v>56</v>
      </c>
      <c r="M37" s="60"/>
      <c r="N37" s="61"/>
    </row>
    <row r="38" spans="1:14" ht="9.75" customHeight="1" x14ac:dyDescent="0.3">
      <c r="A38" s="11"/>
      <c r="D38" s="32"/>
      <c r="K38" s="1"/>
      <c r="N38" s="1"/>
    </row>
    <row r="39" spans="1:14" ht="12" customHeight="1" x14ac:dyDescent="0.3">
      <c r="A39" s="11"/>
      <c r="D39" s="32"/>
      <c r="K39" s="1"/>
      <c r="N39" s="1"/>
    </row>
    <row r="40" spans="1:14" ht="13.5" customHeight="1" x14ac:dyDescent="0.3">
      <c r="A40" s="11"/>
      <c r="B40" s="10"/>
      <c r="C40" s="10"/>
      <c r="D40" s="32"/>
      <c r="K40" s="1"/>
      <c r="N40" s="1"/>
    </row>
    <row r="41" spans="1:14" ht="14.25" customHeight="1" x14ac:dyDescent="0.3">
      <c r="A41" s="11"/>
      <c r="B41" s="10"/>
      <c r="C41" s="10"/>
      <c r="D41" s="55" t="s">
        <v>52</v>
      </c>
      <c r="E41" s="44"/>
      <c r="F41" s="44"/>
      <c r="I41" s="44" t="s">
        <v>12</v>
      </c>
      <c r="J41" s="44"/>
      <c r="K41" s="62"/>
      <c r="N41" s="1"/>
    </row>
    <row r="42" spans="1:14" ht="14.25" customHeight="1" x14ac:dyDescent="0.3">
      <c r="A42" s="13"/>
      <c r="B42" s="17"/>
      <c r="C42" s="17"/>
      <c r="D42" s="56" t="s">
        <v>11</v>
      </c>
      <c r="E42" s="57"/>
      <c r="F42" s="57"/>
      <c r="G42" s="17"/>
      <c r="H42" s="17"/>
      <c r="I42" s="57" t="s">
        <v>13</v>
      </c>
      <c r="J42" s="57"/>
      <c r="K42" s="63"/>
      <c r="L42" s="17"/>
      <c r="M42" s="17"/>
      <c r="N42" s="19"/>
    </row>
    <row r="43" spans="1:14" ht="13.5" customHeight="1" x14ac:dyDescent="0.3">
      <c r="A43" s="53" t="s">
        <v>53</v>
      </c>
      <c r="B43" s="53"/>
      <c r="C43" s="53"/>
      <c r="D43" s="53"/>
      <c r="E43" s="53"/>
      <c r="F43" s="53"/>
      <c r="G43" s="53"/>
      <c r="H43" s="53"/>
      <c r="I43" s="53"/>
      <c r="J43" s="53"/>
      <c r="K43" s="53"/>
      <c r="L43" s="53"/>
      <c r="M43" s="53"/>
      <c r="N43" s="53"/>
    </row>
    <row r="44" spans="1:14" x14ac:dyDescent="0.3">
      <c r="A44" s="12"/>
      <c r="B44" s="12"/>
    </row>
    <row r="45" spans="1:14" x14ac:dyDescent="0.3">
      <c r="A45" s="12"/>
      <c r="B45" s="10"/>
      <c r="C45" s="2"/>
      <c r="D45" s="2"/>
      <c r="E45" s="10"/>
      <c r="F45" s="2"/>
      <c r="G45" s="2"/>
      <c r="H45" s="12"/>
      <c r="I45" s="12"/>
      <c r="J45" s="12"/>
    </row>
    <row r="46" spans="1:14" x14ac:dyDescent="0.3">
      <c r="A46" s="12"/>
      <c r="B46" s="10"/>
      <c r="C46" s="2"/>
      <c r="D46" s="2"/>
      <c r="E46" s="10"/>
      <c r="F46" s="2"/>
      <c r="G46" s="2"/>
      <c r="H46" s="12"/>
      <c r="I46" s="12"/>
      <c r="J46" s="12"/>
    </row>
    <row r="47" spans="1:14" x14ac:dyDescent="0.3">
      <c r="A47" s="12"/>
      <c r="B47" s="10"/>
      <c r="C47" s="2"/>
      <c r="D47" s="2"/>
      <c r="E47" s="10"/>
      <c r="F47" s="2"/>
      <c r="G47" s="2"/>
      <c r="H47" s="12"/>
      <c r="I47" s="12"/>
      <c r="J47" s="12"/>
    </row>
    <row r="48" spans="1:14" x14ac:dyDescent="0.3">
      <c r="A48" s="12"/>
      <c r="B48" s="10"/>
      <c r="C48" s="10"/>
      <c r="D48" s="12"/>
      <c r="E48" s="10"/>
      <c r="F48" s="10"/>
      <c r="G48" s="10"/>
      <c r="H48" s="10"/>
      <c r="I48" s="10"/>
      <c r="J48" s="12"/>
    </row>
    <row r="49" spans="1:14" x14ac:dyDescent="0.3">
      <c r="A49" s="16"/>
      <c r="B49" s="16"/>
      <c r="C49" s="16"/>
      <c r="D49" s="16"/>
      <c r="E49" s="16"/>
      <c r="F49" s="16"/>
      <c r="G49" s="16"/>
      <c r="H49" s="16"/>
      <c r="I49" s="16"/>
      <c r="J49" s="16"/>
    </row>
    <row r="53" spans="1:14" ht="16.5" customHeight="1" x14ac:dyDescent="0.3"/>
    <row r="58" spans="1:14" x14ac:dyDescent="0.3">
      <c r="N58" s="2"/>
    </row>
  </sheetData>
  <mergeCells count="87">
    <mergeCell ref="B17:D17"/>
    <mergeCell ref="F17:G17"/>
    <mergeCell ref="H17:I17"/>
    <mergeCell ref="J17:L17"/>
    <mergeCell ref="M17:N17"/>
    <mergeCell ref="A1:N1"/>
    <mergeCell ref="K11:M11"/>
    <mergeCell ref="A2:C2"/>
    <mergeCell ref="A10:N10"/>
    <mergeCell ref="A8:N8"/>
    <mergeCell ref="A9:N9"/>
    <mergeCell ref="J7:L7"/>
    <mergeCell ref="J6:L6"/>
    <mergeCell ref="M6:N6"/>
    <mergeCell ref="M7:N7"/>
    <mergeCell ref="J5:L5"/>
    <mergeCell ref="D3:F3"/>
    <mergeCell ref="M2:N2"/>
    <mergeCell ref="J2:L2"/>
    <mergeCell ref="A3:C3"/>
    <mergeCell ref="M3:N3"/>
    <mergeCell ref="J3:L3"/>
    <mergeCell ref="B6:I6"/>
    <mergeCell ref="B7:I7"/>
    <mergeCell ref="J4:L4"/>
    <mergeCell ref="K13:M13"/>
    <mergeCell ref="J15:L15"/>
    <mergeCell ref="A4:H4"/>
    <mergeCell ref="H15:I15"/>
    <mergeCell ref="B5:I5"/>
    <mergeCell ref="K12:M12"/>
    <mergeCell ref="M5:N5"/>
    <mergeCell ref="A43:N43"/>
    <mergeCell ref="B34:N34"/>
    <mergeCell ref="B35:N35"/>
    <mergeCell ref="D37:F37"/>
    <mergeCell ref="D41:F41"/>
    <mergeCell ref="D42:F42"/>
    <mergeCell ref="I37:K37"/>
    <mergeCell ref="L37:N37"/>
    <mergeCell ref="I41:K41"/>
    <mergeCell ref="I42:K42"/>
    <mergeCell ref="B36:N36"/>
    <mergeCell ref="J18:L18"/>
    <mergeCell ref="C12:G12"/>
    <mergeCell ref="C13:G13"/>
    <mergeCell ref="A14:N14"/>
    <mergeCell ref="B15:D15"/>
    <mergeCell ref="B16:D16"/>
    <mergeCell ref="J16:L16"/>
    <mergeCell ref="F18:G18"/>
    <mergeCell ref="H18:I18"/>
    <mergeCell ref="H16:I16"/>
    <mergeCell ref="M18:N18"/>
    <mergeCell ref="F16:G16"/>
    <mergeCell ref="B18:D18"/>
    <mergeCell ref="M16:N16"/>
    <mergeCell ref="F15:G15"/>
    <mergeCell ref="M15:N15"/>
    <mergeCell ref="B33:N33"/>
    <mergeCell ref="A28:N28"/>
    <mergeCell ref="B32:N32"/>
    <mergeCell ref="B31:N31"/>
    <mergeCell ref="B20:N20"/>
    <mergeCell ref="E21:H21"/>
    <mergeCell ref="J21:N21"/>
    <mergeCell ref="L23:N23"/>
    <mergeCell ref="B29:N29"/>
    <mergeCell ref="B30:N30"/>
    <mergeCell ref="A27:N27"/>
    <mergeCell ref="I25:K25"/>
    <mergeCell ref="L25:N25"/>
    <mergeCell ref="E25:H25"/>
    <mergeCell ref="E23:H23"/>
    <mergeCell ref="B25:D25"/>
    <mergeCell ref="B26:D26"/>
    <mergeCell ref="E26:H26"/>
    <mergeCell ref="I26:K26"/>
    <mergeCell ref="L26:N26"/>
    <mergeCell ref="A19:N19"/>
    <mergeCell ref="A22:N22"/>
    <mergeCell ref="I24:K24"/>
    <mergeCell ref="B24:D24"/>
    <mergeCell ref="L24:N24"/>
    <mergeCell ref="B23:D23"/>
    <mergeCell ref="I23:K23"/>
    <mergeCell ref="E24:H24"/>
  </mergeCells>
  <phoneticPr fontId="5" type="noConversion"/>
  <printOptions horizontalCentered="1"/>
  <pageMargins left="0.59055118110236227" right="0.39370078740157483" top="1.7716535433070868" bottom="0.23622047244094491" header="0.39370078740157483" footer="0.19685039370078741"/>
  <pageSetup paperSize="9" orientation="portrait" r:id="rId1"/>
  <headerFooter>
    <oddFooter>&amp;LF-TECH/04/R5      &amp;R
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Calibration Certificate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dc:creator>
  <cp:lastModifiedBy>CAL LAB</cp:lastModifiedBy>
  <cp:lastPrinted>2026-06-29T10:20:09Z</cp:lastPrinted>
  <dcterms:created xsi:type="dcterms:W3CDTF">2022-12-07T08:38:07Z</dcterms:created>
  <dcterms:modified xsi:type="dcterms:W3CDTF">2026-07-31T10:58:48Z</dcterms:modified>
</cp:coreProperties>
</file>