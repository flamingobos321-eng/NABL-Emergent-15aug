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E\LAB Nilesh from 01-06-2020\SUG\2025\Dec 2025\"/>
    </mc:Choice>
  </mc:AlternateContent>
  <xr:revisionPtr revIDLastSave="0" documentId="13_ncr:1_{684DD023-F617-487A-97E8-5C39F353B55D}" xr6:coauthVersionLast="47" xr6:coauthVersionMax="47" xr10:uidLastSave="{00000000-0000-0000-0000-000000000000}"/>
  <bookViews>
    <workbookView xWindow="324" yWindow="216" windowWidth="15456" windowHeight="11100" activeTab="1" xr2:uid="{00000000-000D-0000-FFFF-FFFF00000000}"/>
  </bookViews>
  <sheets>
    <sheet name="50-100-200" sheetId="1" r:id="rId1"/>
    <sheet name="gradi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1" l="1"/>
  <c r="C116" i="1" l="1"/>
  <c r="E120" i="1" s="1"/>
  <c r="C115" i="1"/>
  <c r="C72" i="1"/>
  <c r="E76" i="1" s="1"/>
  <c r="E71" i="1"/>
  <c r="C71" i="1"/>
  <c r="E116" i="1" l="1"/>
  <c r="F122" i="1" s="1"/>
  <c r="E72" i="1"/>
  <c r="F78" i="1" s="1"/>
  <c r="C27" i="1"/>
  <c r="C28" i="1" l="1"/>
  <c r="E32" i="1" s="1"/>
  <c r="E27" i="1"/>
  <c r="E28" i="1" l="1"/>
  <c r="F34" i="1" s="1"/>
</calcChain>
</file>

<file path=xl/sharedStrings.xml><?xml version="1.0" encoding="utf-8"?>
<sst xmlns="http://schemas.openxmlformats.org/spreadsheetml/2006/main" count="260" uniqueCount="82">
  <si>
    <t>Name:</t>
  </si>
  <si>
    <t xml:space="preserve">Sr. No.:   </t>
  </si>
  <si>
    <t>Type:</t>
  </si>
  <si>
    <t>Make:</t>
  </si>
  <si>
    <t>Range:</t>
  </si>
  <si>
    <t xml:space="preserve">Name
</t>
  </si>
  <si>
    <t>Certified 
By</t>
  </si>
  <si>
    <t>Calibration
 Validity</t>
  </si>
  <si>
    <t xml:space="preserve">Report No.
</t>
  </si>
  <si>
    <t>55 ±15 % RH</t>
  </si>
  <si>
    <t xml:space="preserve">Ambient Temperature: </t>
  </si>
  <si>
    <t>25 ±4 °C</t>
  </si>
  <si>
    <t>Humidity:</t>
  </si>
  <si>
    <t>Approved By :</t>
  </si>
  <si>
    <t>(Calibration Engineer)</t>
  </si>
  <si>
    <t>Mr. A. A. Kothe</t>
  </si>
  <si>
    <t>(Technical Manager)</t>
  </si>
  <si>
    <t xml:space="preserve">ID No./ Sr. No.
</t>
  </si>
  <si>
    <t>Nishitronics</t>
  </si>
  <si>
    <t>ID. No.:</t>
  </si>
  <si>
    <t>7. Environmental Conditions:</t>
  </si>
  <si>
    <t xml:space="preserve">STABILITY &amp; UNIFORMITY REPORT </t>
  </si>
  <si>
    <t xml:space="preserve">Report No.: </t>
  </si>
  <si>
    <t>Date:</t>
  </si>
  <si>
    <t>Model:</t>
  </si>
  <si>
    <t>3. Description of Source:</t>
  </si>
  <si>
    <t>1. Calibration Location:  Lab</t>
  </si>
  <si>
    <t>Sr. No.</t>
  </si>
  <si>
    <t>in °C</t>
  </si>
  <si>
    <t>Average =</t>
  </si>
  <si>
    <t>Stability =</t>
  </si>
  <si>
    <t xml:space="preserve">Uniformity = </t>
  </si>
  <si>
    <t>4. Calibration Standards Used:</t>
  </si>
  <si>
    <t>8. Results:</t>
  </si>
  <si>
    <t>Conclusion:</t>
  </si>
  <si>
    <t>Checked By :</t>
  </si>
  <si>
    <t>Mr. N. H. Bodakhe</t>
  </si>
  <si>
    <t>(----End of the Report----)</t>
  </si>
  <si>
    <t xml:space="preserve">Ref Fig. for Uniformity </t>
  </si>
  <si>
    <t>9. Remarks:</t>
  </si>
  <si>
    <t>2. Condition of Item: OK</t>
  </si>
  <si>
    <t>°C,</t>
  </si>
  <si>
    <t>Sr. 
No.</t>
  </si>
  <si>
    <r>
      <t xml:space="preserve"> </t>
    </r>
    <r>
      <rPr>
        <b/>
        <sz val="12"/>
        <color theme="1"/>
        <rFont val="Calibri"/>
        <family val="2"/>
        <scheme val="minor"/>
      </rPr>
      <t>Results for 100 °C</t>
    </r>
  </si>
  <si>
    <t xml:space="preserve">GRADIENT REPORT </t>
  </si>
  <si>
    <t>Temp. Point</t>
  </si>
  <si>
    <t>START</t>
  </si>
  <si>
    <t>Oil Bath</t>
  </si>
  <si>
    <t>YOG</t>
  </si>
  <si>
    <t>50 °C to 250 °C</t>
  </si>
  <si>
    <t>YOG-24</t>
  </si>
  <si>
    <t>Silicon Oil</t>
  </si>
  <si>
    <t>OB/01</t>
  </si>
  <si>
    <r>
      <t xml:space="preserve"> </t>
    </r>
    <r>
      <rPr>
        <b/>
        <sz val="12"/>
        <color theme="1"/>
        <rFont val="Calibri"/>
        <family val="2"/>
        <scheme val="minor"/>
      </rPr>
      <t>Results for 50 °C</t>
    </r>
  </si>
  <si>
    <t>Stability of Oil Bath at 50 °C is =</t>
  </si>
  <si>
    <t>Well-to-well Uniformity of Oil Bath at 50 °C is =</t>
  </si>
  <si>
    <t>Standard Value @ Position-A</t>
  </si>
  <si>
    <t>Standard Value @ Position-B</t>
  </si>
  <si>
    <t>Stability of Oil Bath at 100 °C is =</t>
  </si>
  <si>
    <t>Well-to-well Uniformity of Oil Bath at 100 °C is =</t>
  </si>
  <si>
    <r>
      <t xml:space="preserve"> </t>
    </r>
    <r>
      <rPr>
        <b/>
        <sz val="12"/>
        <color theme="1"/>
        <rFont val="Calibri"/>
        <family val="2"/>
        <scheme val="minor"/>
      </rPr>
      <t>Results for 200 °C</t>
    </r>
  </si>
  <si>
    <t>Stability of Oil Bath at 200 °C is =</t>
  </si>
  <si>
    <t>Well-to-well Uniformity of Oil Bath at 200 °C is =</t>
  </si>
  <si>
    <r>
      <rPr>
        <b/>
        <sz val="11"/>
        <color theme="1"/>
        <rFont val="Calibri"/>
        <family val="2"/>
        <scheme val="minor"/>
      </rPr>
      <t>5. Immersion Depth of Oil Bath:</t>
    </r>
    <r>
      <rPr>
        <sz val="11"/>
        <color theme="1"/>
        <rFont val="Calibri"/>
        <family val="2"/>
        <scheme val="minor"/>
      </rPr>
      <t xml:space="preserve"> 4 inches (100mm)</t>
    </r>
  </si>
  <si>
    <t xml:space="preserve">Temperature gradient of Oil Bath is </t>
  </si>
  <si>
    <t>Temperature Range = 50 to 200 °C</t>
  </si>
  <si>
    <t>Up Cycle Time
 (Hr:Min)</t>
  </si>
  <si>
    <t>Down Cycle Time 
(Hr:Min)</t>
  </si>
  <si>
    <t>Hr:Min, which is within acceptable limits</t>
  </si>
  <si>
    <t>RTD Sensor with Indicator</t>
  </si>
  <si>
    <t>YOG-27, YOG-35</t>
  </si>
  <si>
    <t>NI2025/01/0064</t>
  </si>
  <si>
    <r>
      <t xml:space="preserve">6. Method Used For Checking (Work Instruction Ref.): </t>
    </r>
    <r>
      <rPr>
        <sz val="11"/>
        <color theme="1"/>
        <rFont val="Calibri"/>
        <family val="2"/>
        <scheme val="minor"/>
      </rPr>
      <t>WI – TECH/15</t>
    </r>
  </si>
  <si>
    <t>(Note: All reading of standard have been noted after interval of 5 minute as per WI-TECH/15.)</t>
  </si>
  <si>
    <t>which is within acceptable limits as per norms mentioned in WI-TECH/15.</t>
  </si>
  <si>
    <t>---</t>
  </si>
  <si>
    <t xml:space="preserve"> as per norms mentioned in WI-TECH/15.</t>
  </si>
  <si>
    <t>2512/G-OB/1</t>
  </si>
  <si>
    <t>2512/SU-OB/3</t>
  </si>
  <si>
    <t>2512/SU-OB/1</t>
  </si>
  <si>
    <t>2512/SU-OB/2</t>
  </si>
  <si>
    <t>00:44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</si>
</sst>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6" xfId="0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2" xfId="0" applyBorder="1"/>
    <xf numFmtId="0" fontId="1" fillId="0" borderId="12" xfId="0" applyFont="1" applyBorder="1"/>
    <xf numFmtId="14" fontId="0" fillId="0" borderId="9" xfId="0" applyNumberForma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0" fillId="0" borderId="4" xfId="0" applyNumberFormat="1" applyBorder="1" applyAlignment="1">
      <alignment horizontal="left"/>
    </xf>
    <xf numFmtId="2" fontId="4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0" xfId="0" applyAlignment="1">
      <alignment vertical="top"/>
    </xf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0" fillId="0" borderId="11" xfId="0" applyNumberForma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20" fontId="0" fillId="0" borderId="8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20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645948</xdr:colOff>
      <xdr:row>19</xdr:row>
      <xdr:rowOff>32843</xdr:rowOff>
    </xdr:from>
    <xdr:to>
      <xdr:col>8</xdr:col>
      <xdr:colOff>263962</xdr:colOff>
      <xdr:row>25</xdr:row>
      <xdr:rowOff>166193</xdr:rowOff>
    </xdr:to>
    <xdr:pic>
      <xdr:nvPicPr>
        <xdr:cNvPr id="6" name="Picture 5" descr="oi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327" y="4018015"/>
          <a:ext cx="1665342" cy="1556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656897</xdr:colOff>
      <xdr:row>63</xdr:row>
      <xdr:rowOff>10947</xdr:rowOff>
    </xdr:from>
    <xdr:to>
      <xdr:col>8</xdr:col>
      <xdr:colOff>274911</xdr:colOff>
      <xdr:row>69</xdr:row>
      <xdr:rowOff>144297</xdr:rowOff>
    </xdr:to>
    <xdr:pic>
      <xdr:nvPicPr>
        <xdr:cNvPr id="7" name="Picture 6" descr="oi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3276" y="13269309"/>
          <a:ext cx="1665342" cy="1534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624052</xdr:colOff>
      <xdr:row>107</xdr:row>
      <xdr:rowOff>21896</xdr:rowOff>
    </xdr:from>
    <xdr:to>
      <xdr:col>8</xdr:col>
      <xdr:colOff>242066</xdr:colOff>
      <xdr:row>113</xdr:row>
      <xdr:rowOff>155246</xdr:rowOff>
    </xdr:to>
    <xdr:pic>
      <xdr:nvPicPr>
        <xdr:cNvPr id="8" name="Picture 7" descr="oi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0431" y="22465862"/>
          <a:ext cx="1665342" cy="1545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U131"/>
  <sheetViews>
    <sheetView view="pageLayout" topLeftCell="A121" zoomScale="93" zoomScaleNormal="100" zoomScaleSheetLayoutView="73" zoomScalePageLayoutView="93" workbookViewId="0">
      <selection activeCell="E111" sqref="E111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  <col min="11" max="11" width="12.5546875" customWidth="1"/>
    <col min="12" max="12" width="7.5546875" customWidth="1"/>
    <col min="17" max="17" width="12.5546875" customWidth="1"/>
    <col min="18" max="18" width="8.109375" customWidth="1"/>
  </cols>
  <sheetData>
    <row r="1" spans="1:333" ht="21" x14ac:dyDescent="0.4">
      <c r="A1" s="77" t="s">
        <v>21</v>
      </c>
      <c r="B1" s="78"/>
      <c r="C1" s="78"/>
      <c r="D1" s="78"/>
      <c r="E1" s="78"/>
      <c r="F1" s="78"/>
      <c r="G1" s="78"/>
      <c r="H1" s="78"/>
      <c r="I1" s="79"/>
      <c r="J1" s="11"/>
      <c r="K1" s="10"/>
      <c r="L1" s="10"/>
      <c r="M1" s="10"/>
      <c r="N1" s="10"/>
      <c r="O1" s="10"/>
      <c r="P1" s="10"/>
      <c r="Q1" s="10"/>
      <c r="R1" s="10"/>
    </row>
    <row r="2" spans="1:333" x14ac:dyDescent="0.3">
      <c r="A2" s="80" t="s">
        <v>22</v>
      </c>
      <c r="B2" s="81"/>
      <c r="C2" s="82" t="s">
        <v>79</v>
      </c>
      <c r="D2" s="82"/>
      <c r="E2" s="24"/>
      <c r="F2" s="25"/>
      <c r="G2" s="81" t="s">
        <v>23</v>
      </c>
      <c r="H2" s="81"/>
      <c r="I2" s="26">
        <v>46015</v>
      </c>
      <c r="J2" s="9"/>
      <c r="K2" s="8"/>
      <c r="L2" s="8"/>
      <c r="M2" s="9"/>
      <c r="N2" s="8"/>
      <c r="O2" s="8"/>
      <c r="P2" s="8"/>
      <c r="Q2" s="8"/>
      <c r="R2" s="9"/>
    </row>
    <row r="3" spans="1:333" x14ac:dyDescent="0.3">
      <c r="A3" s="27"/>
      <c r="B3" s="23"/>
      <c r="C3" s="8"/>
      <c r="D3" s="8"/>
      <c r="F3" s="10"/>
      <c r="G3" s="22"/>
      <c r="H3" s="22"/>
      <c r="I3" s="28"/>
      <c r="J3" s="9"/>
      <c r="K3" s="8"/>
      <c r="L3" s="8"/>
      <c r="M3" s="9"/>
      <c r="N3" s="8"/>
      <c r="O3" s="8"/>
      <c r="P3" s="8"/>
      <c r="Q3" s="8"/>
      <c r="R3" s="9"/>
    </row>
    <row r="4" spans="1:333" x14ac:dyDescent="0.3">
      <c r="A4" s="59" t="s">
        <v>26</v>
      </c>
      <c r="B4" s="60"/>
      <c r="C4" s="60"/>
      <c r="D4" s="60"/>
      <c r="E4" s="60"/>
      <c r="F4" s="60"/>
      <c r="G4" s="60"/>
      <c r="H4" s="60"/>
      <c r="I4" s="61"/>
      <c r="J4" s="10"/>
      <c r="K4" s="10"/>
      <c r="L4" s="10"/>
      <c r="M4" s="10"/>
      <c r="N4" s="10"/>
      <c r="O4" s="10"/>
      <c r="P4" s="10"/>
      <c r="Q4" s="10"/>
      <c r="R4" s="10"/>
    </row>
    <row r="5" spans="1:333" x14ac:dyDescent="0.3">
      <c r="A5" s="59" t="s">
        <v>40</v>
      </c>
      <c r="B5" s="60"/>
      <c r="C5" s="60"/>
      <c r="D5" s="60"/>
      <c r="E5" s="60"/>
      <c r="F5" s="60"/>
      <c r="G5" s="60"/>
      <c r="H5" s="60"/>
      <c r="I5" s="61"/>
      <c r="J5" s="10"/>
      <c r="K5" s="10"/>
      <c r="L5" s="10"/>
      <c r="M5" s="10"/>
      <c r="N5" s="10"/>
      <c r="O5" s="10"/>
      <c r="P5" s="10"/>
      <c r="Q5" s="10"/>
      <c r="R5" s="10"/>
    </row>
    <row r="6" spans="1:333" x14ac:dyDescent="0.3">
      <c r="A6" s="59" t="s">
        <v>25</v>
      </c>
      <c r="B6" s="60"/>
      <c r="C6" s="60"/>
      <c r="D6" s="60"/>
      <c r="E6" s="60"/>
      <c r="F6" s="60"/>
      <c r="G6" s="60"/>
      <c r="H6" s="60"/>
      <c r="I6" s="61"/>
      <c r="K6" s="4"/>
      <c r="L6" s="4"/>
      <c r="M6" s="4"/>
      <c r="N6" s="4"/>
      <c r="O6" s="4"/>
      <c r="P6" s="7"/>
      <c r="Q6" s="6"/>
      <c r="R6" s="4"/>
    </row>
    <row r="7" spans="1:333" x14ac:dyDescent="0.3">
      <c r="A7" s="1"/>
      <c r="B7" s="8" t="s">
        <v>0</v>
      </c>
      <c r="C7" s="54" t="s">
        <v>47</v>
      </c>
      <c r="D7" s="54"/>
      <c r="E7" s="54"/>
      <c r="G7" s="8" t="s">
        <v>3</v>
      </c>
      <c r="H7" s="54" t="s">
        <v>48</v>
      </c>
      <c r="I7" s="55"/>
    </row>
    <row r="8" spans="1:333" x14ac:dyDescent="0.3">
      <c r="A8" s="1"/>
      <c r="B8" s="8" t="s">
        <v>1</v>
      </c>
      <c r="C8" s="54" t="s">
        <v>52</v>
      </c>
      <c r="D8" s="54"/>
      <c r="E8" s="54"/>
      <c r="G8" s="8" t="s">
        <v>4</v>
      </c>
      <c r="H8" s="54" t="s">
        <v>49</v>
      </c>
      <c r="I8" s="55"/>
    </row>
    <row r="9" spans="1:333" x14ac:dyDescent="0.3">
      <c r="A9" s="1"/>
      <c r="B9" t="s">
        <v>2</v>
      </c>
      <c r="C9" s="54" t="s">
        <v>51</v>
      </c>
      <c r="D9" s="54"/>
      <c r="E9" s="54"/>
      <c r="G9" t="s">
        <v>19</v>
      </c>
      <c r="H9" s="54" t="s">
        <v>50</v>
      </c>
      <c r="I9" s="55"/>
    </row>
    <row r="10" spans="1:333" x14ac:dyDescent="0.3">
      <c r="A10" s="1"/>
      <c r="B10" t="s">
        <v>24</v>
      </c>
      <c r="C10" s="73" t="s">
        <v>75</v>
      </c>
      <c r="D10" s="54"/>
      <c r="E10" s="54"/>
      <c r="H10" s="54"/>
      <c r="I10" s="55"/>
    </row>
    <row r="11" spans="1:333" x14ac:dyDescent="0.3">
      <c r="A11" s="74" t="s">
        <v>32</v>
      </c>
      <c r="B11" s="75"/>
      <c r="C11" s="75"/>
      <c r="D11" s="75"/>
      <c r="E11" s="75"/>
      <c r="F11" s="75"/>
      <c r="G11" s="75"/>
      <c r="H11" s="75"/>
      <c r="I11" s="76"/>
    </row>
    <row r="12" spans="1:333" ht="27.75" customHeight="1" x14ac:dyDescent="0.3">
      <c r="A12" s="5" t="s">
        <v>42</v>
      </c>
      <c r="B12" s="69" t="s">
        <v>5</v>
      </c>
      <c r="C12" s="70"/>
      <c r="D12" s="69" t="s">
        <v>17</v>
      </c>
      <c r="E12" s="70"/>
      <c r="F12" s="5" t="s">
        <v>6</v>
      </c>
      <c r="G12" s="69" t="s">
        <v>8</v>
      </c>
      <c r="H12" s="70"/>
      <c r="I12" s="5" t="s">
        <v>7</v>
      </c>
    </row>
    <row r="13" spans="1:333" ht="32.25" customHeight="1" x14ac:dyDescent="0.3">
      <c r="A13" s="47">
        <v>1</v>
      </c>
      <c r="B13" s="71" t="s">
        <v>69</v>
      </c>
      <c r="C13" s="72"/>
      <c r="D13" s="71" t="s">
        <v>70</v>
      </c>
      <c r="E13" s="72"/>
      <c r="F13" s="47" t="s">
        <v>18</v>
      </c>
      <c r="G13" s="71" t="s">
        <v>71</v>
      </c>
      <c r="H13" s="72"/>
      <c r="I13" s="48">
        <v>46027</v>
      </c>
    </row>
    <row r="14" spans="1:333" s="12" customFormat="1" ht="15" customHeight="1" x14ac:dyDescent="0.3">
      <c r="A14" s="66" t="s">
        <v>63</v>
      </c>
      <c r="B14" s="67"/>
      <c r="C14" s="67"/>
      <c r="D14" s="67"/>
      <c r="E14" s="67"/>
      <c r="F14" s="67"/>
      <c r="G14" s="67"/>
      <c r="H14" s="67"/>
      <c r="I14" s="68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</row>
    <row r="15" spans="1:333" ht="15" customHeight="1" x14ac:dyDescent="0.3">
      <c r="A15" s="59" t="s">
        <v>72</v>
      </c>
      <c r="B15" s="60"/>
      <c r="C15" s="60"/>
      <c r="D15" s="60"/>
      <c r="E15" s="60"/>
      <c r="F15" s="60"/>
      <c r="G15" s="60"/>
      <c r="H15" s="60"/>
      <c r="I15" s="61"/>
    </row>
    <row r="16" spans="1:333" ht="15" customHeight="1" x14ac:dyDescent="0.3">
      <c r="A16" s="59" t="s">
        <v>20</v>
      </c>
      <c r="B16" s="60"/>
      <c r="C16" s="60"/>
      <c r="D16" s="60"/>
      <c r="E16" s="60"/>
      <c r="F16" s="60"/>
      <c r="G16" s="60"/>
      <c r="H16" s="60"/>
      <c r="I16" s="61"/>
    </row>
    <row r="17" spans="1:17" ht="15" customHeight="1" x14ac:dyDescent="0.3">
      <c r="A17" s="1"/>
      <c r="B17" s="64" t="s">
        <v>12</v>
      </c>
      <c r="C17" s="64"/>
      <c r="D17" s="54" t="s">
        <v>9</v>
      </c>
      <c r="E17" s="54"/>
      <c r="F17" s="65" t="s">
        <v>10</v>
      </c>
      <c r="G17" s="65"/>
      <c r="H17" s="65"/>
      <c r="I17" s="2" t="s">
        <v>11</v>
      </c>
    </row>
    <row r="18" spans="1:17" ht="15" customHeight="1" x14ac:dyDescent="0.3">
      <c r="A18" s="59" t="s">
        <v>33</v>
      </c>
      <c r="B18" s="60"/>
      <c r="C18" s="60"/>
      <c r="D18" s="60"/>
      <c r="E18" s="60"/>
      <c r="F18" s="60"/>
      <c r="G18" s="60"/>
      <c r="H18" s="60"/>
      <c r="I18" s="61"/>
    </row>
    <row r="19" spans="1:17" ht="15.75" customHeight="1" x14ac:dyDescent="0.3">
      <c r="A19" s="63" t="s">
        <v>53</v>
      </c>
      <c r="B19" s="63"/>
      <c r="C19" s="63"/>
      <c r="D19" s="63"/>
      <c r="E19" s="63"/>
      <c r="I19" s="2"/>
      <c r="K19" s="8"/>
      <c r="L19" s="8"/>
      <c r="P19" s="8"/>
      <c r="Q19" s="8"/>
    </row>
    <row r="20" spans="1:17" ht="34.5" customHeight="1" x14ac:dyDescent="0.3">
      <c r="A20" s="63" t="s">
        <v>27</v>
      </c>
      <c r="B20" s="63" t="s">
        <v>56</v>
      </c>
      <c r="C20" s="63"/>
      <c r="D20" s="63" t="s">
        <v>57</v>
      </c>
      <c r="E20" s="63"/>
      <c r="I20" s="2"/>
      <c r="K20" s="8"/>
      <c r="L20" s="8"/>
      <c r="P20" s="8"/>
      <c r="Q20" s="8"/>
    </row>
    <row r="21" spans="1:17" ht="15.6" x14ac:dyDescent="0.3">
      <c r="A21" s="63"/>
      <c r="B21" s="18"/>
      <c r="C21" s="18" t="s">
        <v>28</v>
      </c>
      <c r="D21" s="18"/>
      <c r="E21" s="18" t="s">
        <v>28</v>
      </c>
      <c r="I21" s="2"/>
      <c r="K21" s="8"/>
      <c r="L21" s="8"/>
      <c r="P21" s="8"/>
      <c r="Q21" s="8"/>
    </row>
    <row r="22" spans="1:17" ht="15.6" x14ac:dyDescent="0.3">
      <c r="A22" s="18">
        <v>1</v>
      </c>
      <c r="B22" s="20"/>
      <c r="C22" s="21">
        <v>49.23</v>
      </c>
      <c r="D22" s="21"/>
      <c r="E22" s="21">
        <v>49.47</v>
      </c>
      <c r="I22" s="2"/>
      <c r="K22" s="8"/>
      <c r="L22" s="8"/>
      <c r="P22" s="8"/>
      <c r="Q22" s="8"/>
    </row>
    <row r="23" spans="1:17" ht="15.6" x14ac:dyDescent="0.3">
      <c r="A23" s="18">
        <v>2</v>
      </c>
      <c r="B23" s="20"/>
      <c r="C23" s="21">
        <v>49.2</v>
      </c>
      <c r="D23" s="21"/>
      <c r="E23" s="21">
        <v>49.52</v>
      </c>
      <c r="I23" s="2"/>
      <c r="K23" s="8"/>
      <c r="L23" s="8"/>
      <c r="P23" s="8"/>
      <c r="Q23" s="8"/>
    </row>
    <row r="24" spans="1:17" ht="15.6" x14ac:dyDescent="0.3">
      <c r="A24" s="18">
        <v>3</v>
      </c>
      <c r="B24" s="20"/>
      <c r="C24" s="21">
        <v>49.24</v>
      </c>
      <c r="D24" s="21"/>
      <c r="E24" s="21">
        <v>49.63</v>
      </c>
      <c r="I24" s="2"/>
      <c r="K24" s="8"/>
      <c r="L24" s="8"/>
      <c r="P24" s="8"/>
      <c r="Q24" s="8"/>
    </row>
    <row r="25" spans="1:17" ht="15.6" x14ac:dyDescent="0.3">
      <c r="A25" s="18">
        <v>4</v>
      </c>
      <c r="B25" s="20"/>
      <c r="C25" s="21">
        <v>49.29</v>
      </c>
      <c r="D25" s="21"/>
      <c r="E25" s="21">
        <v>49.68</v>
      </c>
      <c r="I25" s="2"/>
      <c r="K25" s="8"/>
      <c r="L25" s="8"/>
      <c r="P25" s="8"/>
      <c r="Q25" s="8"/>
    </row>
    <row r="26" spans="1:17" ht="15.6" x14ac:dyDescent="0.3">
      <c r="A26" s="18">
        <v>5</v>
      </c>
      <c r="B26" s="20"/>
      <c r="C26" s="21">
        <v>49.33</v>
      </c>
      <c r="D26" s="21"/>
      <c r="E26" s="21">
        <v>49.59</v>
      </c>
      <c r="I26" s="2"/>
      <c r="K26" s="8"/>
      <c r="L26" s="8"/>
      <c r="P26" s="8"/>
      <c r="Q26" s="8"/>
    </row>
    <row r="27" spans="1:17" ht="15.6" x14ac:dyDescent="0.3">
      <c r="A27" s="63"/>
      <c r="B27" s="18" t="s">
        <v>29</v>
      </c>
      <c r="C27" s="21">
        <f>SUM(C22:C26)/5</f>
        <v>49.258000000000003</v>
      </c>
      <c r="D27" s="18" t="s">
        <v>29</v>
      </c>
      <c r="E27" s="21">
        <f>SUM(E22:E26)/5</f>
        <v>49.578000000000003</v>
      </c>
      <c r="I27" s="2"/>
      <c r="K27" s="8"/>
      <c r="L27" s="8"/>
      <c r="P27" s="8"/>
      <c r="Q27" s="8"/>
    </row>
    <row r="28" spans="1:17" ht="31.2" x14ac:dyDescent="0.3">
      <c r="A28" s="63"/>
      <c r="B28" s="19" t="s">
        <v>30</v>
      </c>
      <c r="C28" s="29">
        <f>MAX(C22:C26)-MIN(C22:C26)</f>
        <v>0.12999999999999545</v>
      </c>
      <c r="D28" s="19" t="s">
        <v>31</v>
      </c>
      <c r="E28" s="29">
        <f>E27-C27</f>
        <v>0.32000000000000028</v>
      </c>
      <c r="F28" s="56" t="s">
        <v>38</v>
      </c>
      <c r="G28" s="57"/>
      <c r="H28" s="57"/>
      <c r="I28" s="58"/>
      <c r="K28" s="8"/>
      <c r="L28" s="8"/>
      <c r="P28" s="8"/>
      <c r="Q28" s="8"/>
    </row>
    <row r="29" spans="1:17" x14ac:dyDescent="0.3">
      <c r="A29" s="59" t="s">
        <v>39</v>
      </c>
      <c r="B29" s="60"/>
      <c r="C29" s="60"/>
      <c r="D29" s="60"/>
      <c r="E29" s="60"/>
      <c r="F29" s="60"/>
      <c r="G29" s="60"/>
      <c r="H29" s="60"/>
      <c r="I29" s="61"/>
      <c r="K29" s="8"/>
      <c r="L29" s="8"/>
      <c r="M29" s="8"/>
      <c r="N29" s="8"/>
      <c r="O29" s="8"/>
      <c r="P29" s="8"/>
      <c r="Q29" s="8"/>
    </row>
    <row r="30" spans="1:17" s="10" customFormat="1" ht="15.75" customHeight="1" x14ac:dyDescent="0.3">
      <c r="A30" s="62" t="s">
        <v>73</v>
      </c>
      <c r="B30" s="54"/>
      <c r="C30" s="54"/>
      <c r="D30" s="54"/>
      <c r="E30" s="54"/>
      <c r="F30" s="54"/>
      <c r="G30" s="54"/>
      <c r="H30" s="54"/>
      <c r="I30" s="55"/>
    </row>
    <row r="31" spans="1:17" s="9" customFormat="1" ht="15.75" customHeight="1" x14ac:dyDescent="0.3">
      <c r="A31" s="59" t="s">
        <v>34</v>
      </c>
      <c r="B31" s="60"/>
      <c r="D31" s="23"/>
      <c r="I31" s="14"/>
    </row>
    <row r="32" spans="1:17" s="8" customFormat="1" ht="15.75" customHeight="1" x14ac:dyDescent="0.3">
      <c r="A32" s="31">
        <v>1</v>
      </c>
      <c r="B32" s="49" t="s">
        <v>54</v>
      </c>
      <c r="C32" s="49"/>
      <c r="D32" s="49"/>
      <c r="E32" s="30">
        <f>C28</f>
        <v>0.12999999999999545</v>
      </c>
      <c r="F32" s="54" t="s">
        <v>41</v>
      </c>
      <c r="G32" s="54"/>
      <c r="H32" s="54"/>
      <c r="I32" s="55"/>
    </row>
    <row r="33" spans="1:18" s="8" customFormat="1" ht="15.75" customHeight="1" x14ac:dyDescent="0.3">
      <c r="A33" s="32"/>
      <c r="B33" s="54" t="s">
        <v>74</v>
      </c>
      <c r="C33" s="54"/>
      <c r="D33" s="54"/>
      <c r="E33" s="54"/>
      <c r="F33" s="54"/>
      <c r="G33" s="54"/>
      <c r="H33" s="54"/>
      <c r="I33" s="55"/>
    </row>
    <row r="34" spans="1:18" x14ac:dyDescent="0.3">
      <c r="A34" s="1">
        <v>2</v>
      </c>
      <c r="B34" s="54" t="s">
        <v>55</v>
      </c>
      <c r="C34" s="54"/>
      <c r="D34" s="54"/>
      <c r="E34" s="54"/>
      <c r="F34" s="30">
        <f>E28</f>
        <v>0.32000000000000028</v>
      </c>
      <c r="G34" t="s">
        <v>41</v>
      </c>
      <c r="I34" s="2"/>
    </row>
    <row r="35" spans="1:18" x14ac:dyDescent="0.3">
      <c r="A35" s="1"/>
      <c r="B35" s="54" t="s">
        <v>74</v>
      </c>
      <c r="C35" s="54"/>
      <c r="D35" s="54"/>
      <c r="E35" s="54"/>
      <c r="F35" s="54"/>
      <c r="G35" s="54"/>
      <c r="H35" s="54"/>
      <c r="I35" s="55"/>
    </row>
    <row r="36" spans="1:18" x14ac:dyDescent="0.3">
      <c r="A36" s="1"/>
      <c r="B36" s="8"/>
      <c r="C36" s="8"/>
      <c r="D36" s="8"/>
      <c r="E36" s="8"/>
      <c r="F36" s="8"/>
      <c r="G36" s="8"/>
      <c r="H36" s="8"/>
      <c r="I36" s="15"/>
    </row>
    <row r="37" spans="1:18" x14ac:dyDescent="0.3">
      <c r="A37" s="1"/>
      <c r="B37" s="49" t="s">
        <v>35</v>
      </c>
      <c r="C37" s="49"/>
      <c r="G37" s="49" t="s">
        <v>13</v>
      </c>
      <c r="H37" s="49"/>
      <c r="I37" s="50"/>
    </row>
    <row r="38" spans="1:18" x14ac:dyDescent="0.3">
      <c r="A38" s="1"/>
      <c r="B38" s="3"/>
      <c r="C38" s="3"/>
      <c r="G38" s="3"/>
      <c r="H38" s="3"/>
      <c r="I38" s="16"/>
    </row>
    <row r="39" spans="1:18" x14ac:dyDescent="0.3">
      <c r="A39" s="1"/>
      <c r="I39" s="2"/>
    </row>
    <row r="40" spans="1:18" x14ac:dyDescent="0.3">
      <c r="A40" s="1"/>
      <c r="I40" s="2"/>
    </row>
    <row r="41" spans="1:18" x14ac:dyDescent="0.3">
      <c r="A41" s="1"/>
      <c r="B41" s="49" t="s">
        <v>36</v>
      </c>
      <c r="C41" s="49"/>
      <c r="G41" s="49" t="s">
        <v>15</v>
      </c>
      <c r="H41" s="49"/>
      <c r="I41" s="50"/>
    </row>
    <row r="42" spans="1:18" x14ac:dyDescent="0.3">
      <c r="A42" s="1"/>
      <c r="B42" s="49" t="s">
        <v>14</v>
      </c>
      <c r="C42" s="49"/>
      <c r="G42" s="49" t="s">
        <v>16</v>
      </c>
      <c r="H42" s="49"/>
      <c r="I42" s="50"/>
    </row>
    <row r="43" spans="1:18" s="13" customFormat="1" x14ac:dyDescent="0.3">
      <c r="A43" s="51" t="s">
        <v>37</v>
      </c>
      <c r="B43" s="52"/>
      <c r="C43" s="52"/>
      <c r="D43" s="52"/>
      <c r="E43" s="52"/>
      <c r="F43" s="52"/>
      <c r="G43" s="52"/>
      <c r="H43" s="52"/>
      <c r="I43" s="53"/>
      <c r="J43"/>
      <c r="K43"/>
      <c r="L43"/>
      <c r="M43"/>
      <c r="N43"/>
      <c r="O43"/>
      <c r="P43"/>
      <c r="Q43"/>
      <c r="R43"/>
    </row>
    <row r="45" spans="1:18" ht="21" x14ac:dyDescent="0.4">
      <c r="A45" s="77" t="s">
        <v>21</v>
      </c>
      <c r="B45" s="78"/>
      <c r="C45" s="78"/>
      <c r="D45" s="78"/>
      <c r="E45" s="78"/>
      <c r="F45" s="78"/>
      <c r="G45" s="78"/>
      <c r="H45" s="78"/>
      <c r="I45" s="79"/>
    </row>
    <row r="46" spans="1:18" x14ac:dyDescent="0.3">
      <c r="A46" s="80" t="s">
        <v>22</v>
      </c>
      <c r="B46" s="81"/>
      <c r="C46" s="82" t="s">
        <v>80</v>
      </c>
      <c r="D46" s="82"/>
      <c r="E46" s="24"/>
      <c r="F46" s="25"/>
      <c r="G46" s="81" t="s">
        <v>23</v>
      </c>
      <c r="H46" s="81"/>
      <c r="I46" s="26">
        <v>46016</v>
      </c>
    </row>
    <row r="47" spans="1:18" ht="16.5" customHeight="1" x14ac:dyDescent="0.3">
      <c r="A47" s="27"/>
      <c r="B47" s="23"/>
      <c r="C47" s="8"/>
      <c r="D47" s="8"/>
      <c r="F47" s="10"/>
      <c r="G47" s="22"/>
      <c r="H47" s="22"/>
      <c r="I47" s="28"/>
    </row>
    <row r="48" spans="1:18" x14ac:dyDescent="0.3">
      <c r="A48" s="59" t="s">
        <v>26</v>
      </c>
      <c r="B48" s="60"/>
      <c r="C48" s="60"/>
      <c r="D48" s="60"/>
      <c r="E48" s="60"/>
      <c r="F48" s="60"/>
      <c r="G48" s="60"/>
      <c r="H48" s="60"/>
      <c r="I48" s="61"/>
    </row>
    <row r="49" spans="1:13" x14ac:dyDescent="0.3">
      <c r="A49" s="59" t="s">
        <v>40</v>
      </c>
      <c r="B49" s="60"/>
      <c r="C49" s="60"/>
      <c r="D49" s="60"/>
      <c r="E49" s="60"/>
      <c r="F49" s="60"/>
      <c r="G49" s="60"/>
      <c r="H49" s="60"/>
      <c r="I49" s="61"/>
    </row>
    <row r="50" spans="1:13" x14ac:dyDescent="0.3">
      <c r="A50" s="59" t="s">
        <v>25</v>
      </c>
      <c r="B50" s="60"/>
      <c r="C50" s="60"/>
      <c r="D50" s="60"/>
      <c r="E50" s="60"/>
      <c r="F50" s="60"/>
      <c r="G50" s="60"/>
      <c r="H50" s="60"/>
      <c r="I50" s="61"/>
      <c r="M50" s="3"/>
    </row>
    <row r="51" spans="1:13" x14ac:dyDescent="0.3">
      <c r="A51" s="1"/>
      <c r="B51" s="8" t="s">
        <v>0</v>
      </c>
      <c r="C51" s="54" t="s">
        <v>47</v>
      </c>
      <c r="D51" s="54"/>
      <c r="E51" s="54"/>
      <c r="G51" s="8" t="s">
        <v>3</v>
      </c>
      <c r="H51" s="54" t="s">
        <v>48</v>
      </c>
      <c r="I51" s="55"/>
    </row>
    <row r="52" spans="1:13" x14ac:dyDescent="0.3">
      <c r="A52" s="1"/>
      <c r="B52" s="8" t="s">
        <v>1</v>
      </c>
      <c r="C52" s="54" t="s">
        <v>52</v>
      </c>
      <c r="D52" s="54"/>
      <c r="E52" s="54"/>
      <c r="G52" s="8" t="s">
        <v>4</v>
      </c>
      <c r="H52" s="54" t="s">
        <v>49</v>
      </c>
      <c r="I52" s="55"/>
    </row>
    <row r="53" spans="1:13" x14ac:dyDescent="0.3">
      <c r="A53" s="1"/>
      <c r="B53" t="s">
        <v>2</v>
      </c>
      <c r="C53" s="54" t="s">
        <v>51</v>
      </c>
      <c r="D53" s="54"/>
      <c r="E53" s="54"/>
      <c r="G53" t="s">
        <v>19</v>
      </c>
      <c r="H53" s="54" t="s">
        <v>50</v>
      </c>
      <c r="I53" s="55"/>
    </row>
    <row r="54" spans="1:13" x14ac:dyDescent="0.3">
      <c r="A54" s="1"/>
      <c r="B54" t="s">
        <v>24</v>
      </c>
      <c r="C54" s="73" t="s">
        <v>75</v>
      </c>
      <c r="D54" s="54"/>
      <c r="E54" s="54"/>
      <c r="H54" s="54"/>
      <c r="I54" s="55"/>
    </row>
    <row r="55" spans="1:13" x14ac:dyDescent="0.3">
      <c r="A55" s="74" t="s">
        <v>32</v>
      </c>
      <c r="B55" s="75"/>
      <c r="C55" s="75"/>
      <c r="D55" s="75"/>
      <c r="E55" s="75"/>
      <c r="F55" s="75"/>
      <c r="G55" s="75"/>
      <c r="H55" s="75"/>
      <c r="I55" s="76"/>
    </row>
    <row r="56" spans="1:13" ht="28.8" x14ac:dyDescent="0.3">
      <c r="A56" s="5" t="s">
        <v>42</v>
      </c>
      <c r="B56" s="69" t="s">
        <v>5</v>
      </c>
      <c r="C56" s="70"/>
      <c r="D56" s="69" t="s">
        <v>17</v>
      </c>
      <c r="E56" s="70"/>
      <c r="F56" s="5" t="s">
        <v>6</v>
      </c>
      <c r="G56" s="69" t="s">
        <v>8</v>
      </c>
      <c r="H56" s="70"/>
      <c r="I56" s="5" t="s">
        <v>7</v>
      </c>
    </row>
    <row r="57" spans="1:13" ht="32.25" customHeight="1" x14ac:dyDescent="0.3">
      <c r="A57" s="47">
        <v>1</v>
      </c>
      <c r="B57" s="71" t="s">
        <v>69</v>
      </c>
      <c r="C57" s="72"/>
      <c r="D57" s="71" t="s">
        <v>70</v>
      </c>
      <c r="E57" s="72"/>
      <c r="F57" s="47" t="s">
        <v>18</v>
      </c>
      <c r="G57" s="71" t="s">
        <v>71</v>
      </c>
      <c r="H57" s="72"/>
      <c r="I57" s="48">
        <v>46027</v>
      </c>
    </row>
    <row r="58" spans="1:13" ht="15" customHeight="1" x14ac:dyDescent="0.3">
      <c r="A58" s="66" t="s">
        <v>63</v>
      </c>
      <c r="B58" s="67"/>
      <c r="C58" s="67"/>
      <c r="D58" s="67"/>
      <c r="E58" s="67"/>
      <c r="F58" s="67"/>
      <c r="G58" s="67"/>
      <c r="H58" s="67"/>
      <c r="I58" s="68"/>
    </row>
    <row r="59" spans="1:13" x14ac:dyDescent="0.3">
      <c r="A59" s="59" t="s">
        <v>72</v>
      </c>
      <c r="B59" s="60"/>
      <c r="C59" s="60"/>
      <c r="D59" s="60"/>
      <c r="E59" s="60"/>
      <c r="F59" s="60"/>
      <c r="G59" s="60"/>
      <c r="H59" s="60"/>
      <c r="I59" s="61"/>
    </row>
    <row r="60" spans="1:13" x14ac:dyDescent="0.3">
      <c r="A60" s="59" t="s">
        <v>20</v>
      </c>
      <c r="B60" s="60"/>
      <c r="C60" s="60"/>
      <c r="D60" s="60"/>
      <c r="E60" s="60"/>
      <c r="F60" s="60"/>
      <c r="G60" s="60"/>
      <c r="H60" s="60"/>
      <c r="I60" s="61"/>
    </row>
    <row r="61" spans="1:13" x14ac:dyDescent="0.3">
      <c r="A61" s="1"/>
      <c r="B61" s="64" t="s">
        <v>12</v>
      </c>
      <c r="C61" s="64"/>
      <c r="D61" s="54" t="s">
        <v>9</v>
      </c>
      <c r="E61" s="54"/>
      <c r="F61" s="65" t="s">
        <v>10</v>
      </c>
      <c r="G61" s="65"/>
      <c r="H61" s="65"/>
      <c r="I61" s="2" t="s">
        <v>11</v>
      </c>
    </row>
    <row r="62" spans="1:13" x14ac:dyDescent="0.3">
      <c r="A62" s="59" t="s">
        <v>33</v>
      </c>
      <c r="B62" s="60"/>
      <c r="C62" s="60"/>
      <c r="D62" s="60"/>
      <c r="E62" s="60"/>
      <c r="F62" s="60"/>
      <c r="G62" s="60"/>
      <c r="H62" s="60"/>
      <c r="I62" s="61"/>
    </row>
    <row r="63" spans="1:13" ht="15.6" x14ac:dyDescent="0.3">
      <c r="A63" s="63" t="s">
        <v>43</v>
      </c>
      <c r="B63" s="63"/>
      <c r="C63" s="63"/>
      <c r="D63" s="63"/>
      <c r="E63" s="63"/>
      <c r="I63" s="2"/>
    </row>
    <row r="64" spans="1:13" ht="33" customHeight="1" x14ac:dyDescent="0.3">
      <c r="A64" s="63" t="s">
        <v>27</v>
      </c>
      <c r="B64" s="63" t="s">
        <v>56</v>
      </c>
      <c r="C64" s="63"/>
      <c r="D64" s="63" t="s">
        <v>57</v>
      </c>
      <c r="E64" s="63"/>
      <c r="I64" s="2"/>
    </row>
    <row r="65" spans="1:9" ht="15.6" x14ac:dyDescent="0.3">
      <c r="A65" s="63"/>
      <c r="B65" s="18"/>
      <c r="C65" s="18" t="s">
        <v>28</v>
      </c>
      <c r="D65" s="18"/>
      <c r="E65" s="18" t="s">
        <v>28</v>
      </c>
      <c r="I65" s="2"/>
    </row>
    <row r="66" spans="1:9" ht="15.6" x14ac:dyDescent="0.3">
      <c r="A66" s="18">
        <v>1</v>
      </c>
      <c r="B66" s="20"/>
      <c r="C66" s="21">
        <v>99.07</v>
      </c>
      <c r="D66" s="21"/>
      <c r="E66" s="21">
        <v>99.48</v>
      </c>
      <c r="I66" s="2"/>
    </row>
    <row r="67" spans="1:9" ht="15.6" x14ac:dyDescent="0.3">
      <c r="A67" s="18">
        <v>2</v>
      </c>
      <c r="B67" s="20"/>
      <c r="C67" s="21">
        <v>99.01</v>
      </c>
      <c r="D67" s="21"/>
      <c r="E67" s="21">
        <v>99.45</v>
      </c>
      <c r="I67" s="2"/>
    </row>
    <row r="68" spans="1:9" ht="15.6" x14ac:dyDescent="0.3">
      <c r="A68" s="18">
        <v>3</v>
      </c>
      <c r="B68" s="20"/>
      <c r="C68" s="21">
        <v>99.08</v>
      </c>
      <c r="D68" s="21"/>
      <c r="E68" s="21">
        <v>99.41</v>
      </c>
      <c r="I68" s="2"/>
    </row>
    <row r="69" spans="1:9" ht="15.6" x14ac:dyDescent="0.3">
      <c r="A69" s="18">
        <v>4</v>
      </c>
      <c r="B69" s="20"/>
      <c r="C69" s="21">
        <v>99.16</v>
      </c>
      <c r="D69" s="21"/>
      <c r="E69" s="21">
        <v>99.47</v>
      </c>
      <c r="I69" s="2"/>
    </row>
    <row r="70" spans="1:9" ht="15.6" x14ac:dyDescent="0.3">
      <c r="A70" s="18">
        <v>5</v>
      </c>
      <c r="B70" s="20"/>
      <c r="C70" s="21">
        <v>99.14</v>
      </c>
      <c r="D70" s="21"/>
      <c r="E70" s="21">
        <v>99.51</v>
      </c>
      <c r="I70" s="2"/>
    </row>
    <row r="71" spans="1:9" ht="15.6" x14ac:dyDescent="0.3">
      <c r="A71" s="63"/>
      <c r="B71" s="18" t="s">
        <v>29</v>
      </c>
      <c r="C71" s="21">
        <f>SUM(C66:C70)/5</f>
        <v>99.091999999999985</v>
      </c>
      <c r="D71" s="18" t="s">
        <v>29</v>
      </c>
      <c r="E71" s="21">
        <f>SUM(E66:E70)/5</f>
        <v>99.464000000000013</v>
      </c>
      <c r="I71" s="2"/>
    </row>
    <row r="72" spans="1:9" ht="31.2" x14ac:dyDescent="0.3">
      <c r="A72" s="63"/>
      <c r="B72" s="19" t="s">
        <v>30</v>
      </c>
      <c r="C72" s="29">
        <f>MAX(C66:C70)-MIN(C66:C70)</f>
        <v>0.14999999999999147</v>
      </c>
      <c r="D72" s="19" t="s">
        <v>31</v>
      </c>
      <c r="E72" s="29">
        <f>E71-C71</f>
        <v>0.37200000000002831</v>
      </c>
      <c r="F72" s="56" t="s">
        <v>38</v>
      </c>
      <c r="G72" s="57"/>
      <c r="H72" s="57"/>
      <c r="I72" s="58"/>
    </row>
    <row r="73" spans="1:9" x14ac:dyDescent="0.3">
      <c r="A73" s="59" t="s">
        <v>39</v>
      </c>
      <c r="B73" s="60"/>
      <c r="C73" s="60"/>
      <c r="D73" s="60"/>
      <c r="E73" s="60"/>
      <c r="F73" s="60"/>
      <c r="G73" s="60"/>
      <c r="H73" s="60"/>
      <c r="I73" s="61"/>
    </row>
    <row r="74" spans="1:9" x14ac:dyDescent="0.3">
      <c r="A74" s="62" t="s">
        <v>73</v>
      </c>
      <c r="B74" s="54"/>
      <c r="C74" s="54"/>
      <c r="D74" s="54"/>
      <c r="E74" s="54"/>
      <c r="F74" s="54"/>
      <c r="G74" s="54"/>
      <c r="H74" s="54"/>
      <c r="I74" s="55"/>
    </row>
    <row r="75" spans="1:9" x14ac:dyDescent="0.3">
      <c r="A75" s="59" t="s">
        <v>34</v>
      </c>
      <c r="B75" s="60"/>
      <c r="C75" s="9"/>
      <c r="D75" s="23"/>
      <c r="E75" s="9"/>
      <c r="F75" s="9"/>
      <c r="G75" s="9"/>
      <c r="H75" s="9"/>
      <c r="I75" s="14"/>
    </row>
    <row r="76" spans="1:9" x14ac:dyDescent="0.3">
      <c r="A76" s="31">
        <v>1</v>
      </c>
      <c r="B76" s="49" t="s">
        <v>58</v>
      </c>
      <c r="C76" s="49"/>
      <c r="D76" s="49"/>
      <c r="E76" s="30">
        <f>C72</f>
        <v>0.14999999999999147</v>
      </c>
      <c r="F76" s="54" t="s">
        <v>41</v>
      </c>
      <c r="G76" s="54"/>
      <c r="H76" s="54"/>
      <c r="I76" s="55"/>
    </row>
    <row r="77" spans="1:9" x14ac:dyDescent="0.3">
      <c r="A77" s="32"/>
      <c r="B77" s="54" t="s">
        <v>74</v>
      </c>
      <c r="C77" s="54"/>
      <c r="D77" s="54"/>
      <c r="E77" s="54"/>
      <c r="F77" s="54"/>
      <c r="G77" s="54"/>
      <c r="H77" s="54"/>
      <c r="I77" s="55"/>
    </row>
    <row r="78" spans="1:9" x14ac:dyDescent="0.3">
      <c r="A78" s="1">
        <v>2</v>
      </c>
      <c r="B78" s="54" t="s">
        <v>59</v>
      </c>
      <c r="C78" s="54"/>
      <c r="D78" s="54"/>
      <c r="E78" s="54"/>
      <c r="F78" s="30">
        <f>E72</f>
        <v>0.37200000000002831</v>
      </c>
      <c r="G78" t="s">
        <v>41</v>
      </c>
      <c r="I78" s="2"/>
    </row>
    <row r="79" spans="1:9" x14ac:dyDescent="0.3">
      <c r="A79" s="1"/>
      <c r="B79" s="54" t="s">
        <v>74</v>
      </c>
      <c r="C79" s="54"/>
      <c r="D79" s="54"/>
      <c r="E79" s="54"/>
      <c r="F79" s="54"/>
      <c r="G79" s="54"/>
      <c r="H79" s="54"/>
      <c r="I79" s="55"/>
    </row>
    <row r="80" spans="1:9" x14ac:dyDescent="0.3">
      <c r="A80" s="1"/>
      <c r="B80" s="8"/>
      <c r="C80" s="8"/>
      <c r="D80" s="8"/>
      <c r="E80" s="8"/>
      <c r="F80" s="8"/>
      <c r="G80" s="8"/>
      <c r="H80" s="8"/>
      <c r="I80" s="15"/>
    </row>
    <row r="81" spans="1:9" x14ac:dyDescent="0.3">
      <c r="A81" s="1"/>
      <c r="B81" s="49" t="s">
        <v>35</v>
      </c>
      <c r="C81" s="49"/>
      <c r="G81" s="49" t="s">
        <v>13</v>
      </c>
      <c r="H81" s="49"/>
      <c r="I81" s="50"/>
    </row>
    <row r="82" spans="1:9" x14ac:dyDescent="0.3">
      <c r="A82" s="1"/>
      <c r="B82" s="3"/>
      <c r="C82" s="3"/>
      <c r="G82" s="3"/>
      <c r="H82" s="3"/>
      <c r="I82" s="16"/>
    </row>
    <row r="83" spans="1:9" x14ac:dyDescent="0.3">
      <c r="A83" s="1"/>
      <c r="I83" s="2"/>
    </row>
    <row r="84" spans="1:9" x14ac:dyDescent="0.3">
      <c r="A84" s="1"/>
      <c r="I84" s="2"/>
    </row>
    <row r="85" spans="1:9" x14ac:dyDescent="0.3">
      <c r="A85" s="1"/>
      <c r="B85" s="49" t="s">
        <v>36</v>
      </c>
      <c r="C85" s="49"/>
      <c r="G85" s="49" t="s">
        <v>15</v>
      </c>
      <c r="H85" s="49"/>
      <c r="I85" s="50"/>
    </row>
    <row r="86" spans="1:9" x14ac:dyDescent="0.3">
      <c r="A86" s="1"/>
      <c r="B86" s="49" t="s">
        <v>14</v>
      </c>
      <c r="C86" s="49"/>
      <c r="G86" s="49" t="s">
        <v>16</v>
      </c>
      <c r="H86" s="49"/>
      <c r="I86" s="50"/>
    </row>
    <row r="87" spans="1:9" x14ac:dyDescent="0.3">
      <c r="A87" s="51" t="s">
        <v>37</v>
      </c>
      <c r="B87" s="52"/>
      <c r="C87" s="52"/>
      <c r="D87" s="52"/>
      <c r="E87" s="52"/>
      <c r="F87" s="52"/>
      <c r="G87" s="52"/>
      <c r="H87" s="52"/>
      <c r="I87" s="53"/>
    </row>
    <row r="89" spans="1:9" ht="21" x14ac:dyDescent="0.4">
      <c r="A89" s="77" t="s">
        <v>21</v>
      </c>
      <c r="B89" s="78"/>
      <c r="C89" s="78"/>
      <c r="D89" s="78"/>
      <c r="E89" s="78"/>
      <c r="F89" s="78"/>
      <c r="G89" s="78"/>
      <c r="H89" s="78"/>
      <c r="I89" s="79"/>
    </row>
    <row r="90" spans="1:9" x14ac:dyDescent="0.3">
      <c r="A90" s="80" t="s">
        <v>22</v>
      </c>
      <c r="B90" s="81"/>
      <c r="C90" s="82" t="s">
        <v>78</v>
      </c>
      <c r="D90" s="82"/>
      <c r="E90" s="24"/>
      <c r="F90" s="25"/>
      <c r="G90" s="81" t="s">
        <v>23</v>
      </c>
      <c r="H90" s="81"/>
      <c r="I90" s="26">
        <v>46016</v>
      </c>
    </row>
    <row r="91" spans="1:9" x14ac:dyDescent="0.3">
      <c r="A91" s="27"/>
      <c r="B91" s="23"/>
      <c r="C91" s="8"/>
      <c r="D91" s="8"/>
      <c r="F91" s="10"/>
      <c r="G91" s="22"/>
      <c r="H91" s="22"/>
      <c r="I91" s="28"/>
    </row>
    <row r="92" spans="1:9" x14ac:dyDescent="0.3">
      <c r="A92" s="59" t="s">
        <v>26</v>
      </c>
      <c r="B92" s="60"/>
      <c r="C92" s="60"/>
      <c r="D92" s="60"/>
      <c r="E92" s="60"/>
      <c r="F92" s="60"/>
      <c r="G92" s="60"/>
      <c r="H92" s="60"/>
      <c r="I92" s="61"/>
    </row>
    <row r="93" spans="1:9" x14ac:dyDescent="0.3">
      <c r="A93" s="59" t="s">
        <v>40</v>
      </c>
      <c r="B93" s="60"/>
      <c r="C93" s="60"/>
      <c r="D93" s="60"/>
      <c r="E93" s="60"/>
      <c r="F93" s="60"/>
      <c r="G93" s="60"/>
      <c r="H93" s="60"/>
      <c r="I93" s="61"/>
    </row>
    <row r="94" spans="1:9" x14ac:dyDescent="0.3">
      <c r="A94" s="59" t="s">
        <v>25</v>
      </c>
      <c r="B94" s="60"/>
      <c r="C94" s="60"/>
      <c r="D94" s="60"/>
      <c r="E94" s="60"/>
      <c r="F94" s="60"/>
      <c r="G94" s="60"/>
      <c r="H94" s="60"/>
      <c r="I94" s="61"/>
    </row>
    <row r="95" spans="1:9" x14ac:dyDescent="0.3">
      <c r="A95" s="1"/>
      <c r="B95" s="8" t="s">
        <v>0</v>
      </c>
      <c r="C95" s="54" t="s">
        <v>47</v>
      </c>
      <c r="D95" s="54"/>
      <c r="E95" s="54"/>
      <c r="G95" s="8" t="s">
        <v>3</v>
      </c>
      <c r="H95" s="54" t="s">
        <v>48</v>
      </c>
      <c r="I95" s="55"/>
    </row>
    <row r="96" spans="1:9" x14ac:dyDescent="0.3">
      <c r="A96" s="1"/>
      <c r="B96" s="8" t="s">
        <v>1</v>
      </c>
      <c r="C96" s="54" t="s">
        <v>52</v>
      </c>
      <c r="D96" s="54"/>
      <c r="E96" s="54"/>
      <c r="G96" s="8" t="s">
        <v>4</v>
      </c>
      <c r="H96" s="54" t="s">
        <v>49</v>
      </c>
      <c r="I96" s="55"/>
    </row>
    <row r="97" spans="1:9" x14ac:dyDescent="0.3">
      <c r="A97" s="1"/>
      <c r="B97" t="s">
        <v>2</v>
      </c>
      <c r="C97" s="54" t="s">
        <v>51</v>
      </c>
      <c r="D97" s="54"/>
      <c r="E97" s="54"/>
      <c r="G97" t="s">
        <v>19</v>
      </c>
      <c r="H97" s="54" t="s">
        <v>50</v>
      </c>
      <c r="I97" s="55"/>
    </row>
    <row r="98" spans="1:9" x14ac:dyDescent="0.3">
      <c r="A98" s="1"/>
      <c r="B98" t="s">
        <v>24</v>
      </c>
      <c r="C98" s="73" t="s">
        <v>75</v>
      </c>
      <c r="D98" s="54"/>
      <c r="E98" s="54"/>
      <c r="H98" s="54"/>
      <c r="I98" s="55"/>
    </row>
    <row r="99" spans="1:9" x14ac:dyDescent="0.3">
      <c r="A99" s="74" t="s">
        <v>32</v>
      </c>
      <c r="B99" s="75"/>
      <c r="C99" s="75"/>
      <c r="D99" s="75"/>
      <c r="E99" s="75"/>
      <c r="F99" s="75"/>
      <c r="G99" s="75"/>
      <c r="H99" s="75"/>
      <c r="I99" s="76"/>
    </row>
    <row r="100" spans="1:9" ht="28.8" x14ac:dyDescent="0.3">
      <c r="A100" s="5" t="s">
        <v>42</v>
      </c>
      <c r="B100" s="69" t="s">
        <v>5</v>
      </c>
      <c r="C100" s="70"/>
      <c r="D100" s="69" t="s">
        <v>17</v>
      </c>
      <c r="E100" s="70"/>
      <c r="F100" s="5" t="s">
        <v>6</v>
      </c>
      <c r="G100" s="69" t="s">
        <v>8</v>
      </c>
      <c r="H100" s="70"/>
      <c r="I100" s="5" t="s">
        <v>7</v>
      </c>
    </row>
    <row r="101" spans="1:9" ht="31.5" customHeight="1" x14ac:dyDescent="0.3">
      <c r="A101" s="47">
        <v>1</v>
      </c>
      <c r="B101" s="71" t="s">
        <v>69</v>
      </c>
      <c r="C101" s="72"/>
      <c r="D101" s="71" t="s">
        <v>70</v>
      </c>
      <c r="E101" s="72"/>
      <c r="F101" s="47" t="s">
        <v>18</v>
      </c>
      <c r="G101" s="71" t="s">
        <v>71</v>
      </c>
      <c r="H101" s="72"/>
      <c r="I101" s="48">
        <v>46027</v>
      </c>
    </row>
    <row r="102" spans="1:9" x14ac:dyDescent="0.3">
      <c r="A102" s="66" t="s">
        <v>63</v>
      </c>
      <c r="B102" s="67"/>
      <c r="C102" s="67"/>
      <c r="D102" s="67"/>
      <c r="E102" s="67"/>
      <c r="F102" s="67"/>
      <c r="G102" s="67"/>
      <c r="H102" s="67"/>
      <c r="I102" s="68"/>
    </row>
    <row r="103" spans="1:9" x14ac:dyDescent="0.3">
      <c r="A103" s="59" t="s">
        <v>72</v>
      </c>
      <c r="B103" s="60"/>
      <c r="C103" s="60"/>
      <c r="D103" s="60"/>
      <c r="E103" s="60"/>
      <c r="F103" s="60"/>
      <c r="G103" s="60"/>
      <c r="H103" s="60"/>
      <c r="I103" s="61"/>
    </row>
    <row r="104" spans="1:9" x14ac:dyDescent="0.3">
      <c r="A104" s="59" t="s">
        <v>20</v>
      </c>
      <c r="B104" s="60"/>
      <c r="C104" s="60"/>
      <c r="D104" s="60"/>
      <c r="E104" s="60"/>
      <c r="F104" s="60"/>
      <c r="G104" s="60"/>
      <c r="H104" s="60"/>
      <c r="I104" s="61"/>
    </row>
    <row r="105" spans="1:9" x14ac:dyDescent="0.3">
      <c r="A105" s="1"/>
      <c r="B105" s="64" t="s">
        <v>12</v>
      </c>
      <c r="C105" s="64"/>
      <c r="D105" s="54" t="s">
        <v>9</v>
      </c>
      <c r="E105" s="54"/>
      <c r="F105" s="65" t="s">
        <v>10</v>
      </c>
      <c r="G105" s="65"/>
      <c r="H105" s="65"/>
      <c r="I105" s="2" t="s">
        <v>11</v>
      </c>
    </row>
    <row r="106" spans="1:9" x14ac:dyDescent="0.3">
      <c r="A106" s="59" t="s">
        <v>33</v>
      </c>
      <c r="B106" s="60"/>
      <c r="C106" s="60"/>
      <c r="D106" s="60"/>
      <c r="E106" s="60"/>
      <c r="F106" s="60"/>
      <c r="G106" s="60"/>
      <c r="H106" s="60"/>
      <c r="I106" s="61"/>
    </row>
    <row r="107" spans="1:9" ht="15.6" x14ac:dyDescent="0.3">
      <c r="A107" s="63" t="s">
        <v>60</v>
      </c>
      <c r="B107" s="63"/>
      <c r="C107" s="63"/>
      <c r="D107" s="63"/>
      <c r="E107" s="63"/>
      <c r="I107" s="2"/>
    </row>
    <row r="108" spans="1:9" ht="33.75" customHeight="1" x14ac:dyDescent="0.3">
      <c r="A108" s="63" t="s">
        <v>27</v>
      </c>
      <c r="B108" s="63" t="s">
        <v>56</v>
      </c>
      <c r="C108" s="63"/>
      <c r="D108" s="63" t="s">
        <v>57</v>
      </c>
      <c r="E108" s="63"/>
      <c r="I108" s="2"/>
    </row>
    <row r="109" spans="1:9" ht="15.6" x14ac:dyDescent="0.3">
      <c r="A109" s="63"/>
      <c r="B109" s="18"/>
      <c r="C109" s="18" t="s">
        <v>28</v>
      </c>
      <c r="D109" s="18"/>
      <c r="E109" s="18" t="s">
        <v>28</v>
      </c>
      <c r="I109" s="2"/>
    </row>
    <row r="110" spans="1:9" ht="15.6" x14ac:dyDescent="0.3">
      <c r="A110" s="18">
        <v>1</v>
      </c>
      <c r="B110" s="20"/>
      <c r="C110" s="21">
        <v>199.06</v>
      </c>
      <c r="D110" s="20"/>
      <c r="E110" s="21">
        <v>199.51</v>
      </c>
      <c r="I110" s="2"/>
    </row>
    <row r="111" spans="1:9" ht="15.6" x14ac:dyDescent="0.3">
      <c r="A111" s="18">
        <v>2</v>
      </c>
      <c r="B111" s="20"/>
      <c r="C111" s="21">
        <v>199.1</v>
      </c>
      <c r="D111" s="20"/>
      <c r="E111" s="21">
        <v>199.55</v>
      </c>
      <c r="I111" s="2"/>
    </row>
    <row r="112" spans="1:9" ht="15.6" x14ac:dyDescent="0.3">
      <c r="A112" s="18">
        <v>3</v>
      </c>
      <c r="B112" s="20"/>
      <c r="C112" s="21">
        <v>199.03</v>
      </c>
      <c r="D112" s="20"/>
      <c r="E112" s="21">
        <v>199.6</v>
      </c>
      <c r="I112" s="2"/>
    </row>
    <row r="113" spans="1:9" ht="15.6" x14ac:dyDescent="0.3">
      <c r="A113" s="18">
        <v>4</v>
      </c>
      <c r="B113" s="20"/>
      <c r="C113" s="21">
        <v>199.11</v>
      </c>
      <c r="D113" s="20"/>
      <c r="E113" s="21">
        <v>199.55</v>
      </c>
      <c r="I113" s="2"/>
    </row>
    <row r="114" spans="1:9" ht="15.6" x14ac:dyDescent="0.3">
      <c r="A114" s="18">
        <v>5</v>
      </c>
      <c r="B114" s="20"/>
      <c r="C114" s="21">
        <v>199.19</v>
      </c>
      <c r="D114" s="20"/>
      <c r="E114" s="21">
        <v>199.49</v>
      </c>
      <c r="I114" s="2"/>
    </row>
    <row r="115" spans="1:9" ht="15.6" x14ac:dyDescent="0.3">
      <c r="A115" s="63"/>
      <c r="B115" s="18" t="s">
        <v>29</v>
      </c>
      <c r="C115" s="21">
        <f>SUM(C110:C114)/5</f>
        <v>199.09800000000001</v>
      </c>
      <c r="D115" s="18" t="s">
        <v>29</v>
      </c>
      <c r="E115" s="21">
        <f>SUM(E110:E114)/5</f>
        <v>199.54000000000002</v>
      </c>
      <c r="I115" s="2"/>
    </row>
    <row r="116" spans="1:9" ht="31.2" x14ac:dyDescent="0.3">
      <c r="A116" s="63"/>
      <c r="B116" s="19" t="s">
        <v>30</v>
      </c>
      <c r="C116" s="29">
        <f>MAX(C110:C114)-MIN(C110:C114)</f>
        <v>0.15999999999999659</v>
      </c>
      <c r="D116" s="19" t="s">
        <v>31</v>
      </c>
      <c r="E116" s="29">
        <f>E115-C115</f>
        <v>0.44200000000000728</v>
      </c>
      <c r="F116" s="56" t="s">
        <v>38</v>
      </c>
      <c r="G116" s="57"/>
      <c r="H116" s="57"/>
      <c r="I116" s="58"/>
    </row>
    <row r="117" spans="1:9" x14ac:dyDescent="0.3">
      <c r="A117" s="59" t="s">
        <v>39</v>
      </c>
      <c r="B117" s="60"/>
      <c r="C117" s="60"/>
      <c r="D117" s="60"/>
      <c r="E117" s="60"/>
      <c r="F117" s="60"/>
      <c r="G117" s="60"/>
      <c r="H117" s="60"/>
      <c r="I117" s="61"/>
    </row>
    <row r="118" spans="1:9" x14ac:dyDescent="0.3">
      <c r="A118" s="62" t="s">
        <v>73</v>
      </c>
      <c r="B118" s="54"/>
      <c r="C118" s="54"/>
      <c r="D118" s="54"/>
      <c r="E118" s="54"/>
      <c r="F118" s="54"/>
      <c r="G118" s="54"/>
      <c r="H118" s="54"/>
      <c r="I118" s="55"/>
    </row>
    <row r="119" spans="1:9" x14ac:dyDescent="0.3">
      <c r="A119" s="59" t="s">
        <v>34</v>
      </c>
      <c r="B119" s="60"/>
      <c r="C119" s="9"/>
      <c r="D119" s="23"/>
      <c r="E119" s="9"/>
      <c r="F119" s="9"/>
      <c r="G119" s="9"/>
      <c r="H119" s="9"/>
      <c r="I119" s="14"/>
    </row>
    <row r="120" spans="1:9" x14ac:dyDescent="0.3">
      <c r="A120" s="31">
        <v>1</v>
      </c>
      <c r="B120" s="49" t="s">
        <v>61</v>
      </c>
      <c r="C120" s="49"/>
      <c r="D120" s="49"/>
      <c r="E120" s="30">
        <f>C116</f>
        <v>0.15999999999999659</v>
      </c>
      <c r="F120" s="54" t="s">
        <v>41</v>
      </c>
      <c r="G120" s="54"/>
      <c r="H120" s="54"/>
      <c r="I120" s="55"/>
    </row>
    <row r="121" spans="1:9" x14ac:dyDescent="0.3">
      <c r="A121" s="32"/>
      <c r="B121" s="54" t="s">
        <v>74</v>
      </c>
      <c r="C121" s="54"/>
      <c r="D121" s="54"/>
      <c r="E121" s="54"/>
      <c r="F121" s="54"/>
      <c r="G121" s="54"/>
      <c r="H121" s="54"/>
      <c r="I121" s="55"/>
    </row>
    <row r="122" spans="1:9" x14ac:dyDescent="0.3">
      <c r="A122" s="1">
        <v>2</v>
      </c>
      <c r="B122" s="54" t="s">
        <v>62</v>
      </c>
      <c r="C122" s="54"/>
      <c r="D122" s="54"/>
      <c r="E122" s="54"/>
      <c r="F122" s="30">
        <f>E116</f>
        <v>0.44200000000000728</v>
      </c>
      <c r="G122" t="s">
        <v>41</v>
      </c>
      <c r="I122" s="2"/>
    </row>
    <row r="123" spans="1:9" x14ac:dyDescent="0.3">
      <c r="A123" s="1"/>
      <c r="B123" s="54" t="s">
        <v>74</v>
      </c>
      <c r="C123" s="54"/>
      <c r="D123" s="54"/>
      <c r="E123" s="54"/>
      <c r="F123" s="54"/>
      <c r="G123" s="54"/>
      <c r="H123" s="54"/>
      <c r="I123" s="55"/>
    </row>
    <row r="124" spans="1:9" x14ac:dyDescent="0.3">
      <c r="A124" s="1"/>
      <c r="B124" s="8"/>
      <c r="C124" s="8"/>
      <c r="D124" s="8"/>
      <c r="E124" s="8"/>
      <c r="F124" s="8"/>
      <c r="G124" s="8"/>
      <c r="H124" s="8"/>
      <c r="I124" s="15"/>
    </row>
    <row r="125" spans="1:9" x14ac:dyDescent="0.3">
      <c r="A125" s="1"/>
      <c r="B125" s="49" t="s">
        <v>35</v>
      </c>
      <c r="C125" s="49"/>
      <c r="G125" s="49" t="s">
        <v>13</v>
      </c>
      <c r="H125" s="49"/>
      <c r="I125" s="50"/>
    </row>
    <row r="126" spans="1:9" x14ac:dyDescent="0.3">
      <c r="A126" s="1"/>
      <c r="B126" s="3"/>
      <c r="C126" s="3"/>
      <c r="G126" s="3"/>
      <c r="H126" s="3"/>
      <c r="I126" s="16"/>
    </row>
    <row r="127" spans="1:9" x14ac:dyDescent="0.3">
      <c r="A127" s="1"/>
      <c r="I127" s="2"/>
    </row>
    <row r="128" spans="1:9" x14ac:dyDescent="0.3">
      <c r="A128" s="1"/>
      <c r="I128" s="2"/>
    </row>
    <row r="129" spans="1:9" x14ac:dyDescent="0.3">
      <c r="A129" s="1"/>
      <c r="B129" s="49" t="s">
        <v>36</v>
      </c>
      <c r="C129" s="49"/>
      <c r="G129" s="49" t="s">
        <v>15</v>
      </c>
      <c r="H129" s="49"/>
      <c r="I129" s="50"/>
    </row>
    <row r="130" spans="1:9" x14ac:dyDescent="0.3">
      <c r="A130" s="1"/>
      <c r="B130" s="49" t="s">
        <v>14</v>
      </c>
      <c r="C130" s="49"/>
      <c r="G130" s="49" t="s">
        <v>16</v>
      </c>
      <c r="H130" s="49"/>
      <c r="I130" s="50"/>
    </row>
    <row r="131" spans="1:9" x14ac:dyDescent="0.3">
      <c r="A131" s="51" t="s">
        <v>37</v>
      </c>
      <c r="B131" s="52"/>
      <c r="C131" s="52"/>
      <c r="D131" s="52"/>
      <c r="E131" s="52"/>
      <c r="F131" s="52"/>
      <c r="G131" s="52"/>
      <c r="H131" s="52"/>
      <c r="I131" s="53"/>
    </row>
  </sheetData>
  <mergeCells count="150">
    <mergeCell ref="B35:I35"/>
    <mergeCell ref="A31:B31"/>
    <mergeCell ref="F28:I28"/>
    <mergeCell ref="A30:I30"/>
    <mergeCell ref="B32:D32"/>
    <mergeCell ref="F32:I32"/>
    <mergeCell ref="A29:I29"/>
    <mergeCell ref="A18:I18"/>
    <mergeCell ref="A14:I14"/>
    <mergeCell ref="A19:E19"/>
    <mergeCell ref="A20:A21"/>
    <mergeCell ref="B20:C20"/>
    <mergeCell ref="D20:E20"/>
    <mergeCell ref="A27:A28"/>
    <mergeCell ref="B33:I33"/>
    <mergeCell ref="B34:E34"/>
    <mergeCell ref="G2:H2"/>
    <mergeCell ref="A2:B2"/>
    <mergeCell ref="A4:I4"/>
    <mergeCell ref="A5:I5"/>
    <mergeCell ref="H10:I10"/>
    <mergeCell ref="C2:D2"/>
    <mergeCell ref="C9:E9"/>
    <mergeCell ref="H9:I9"/>
    <mergeCell ref="A16:I16"/>
    <mergeCell ref="G13:H13"/>
    <mergeCell ref="B42:C42"/>
    <mergeCell ref="A43:I43"/>
    <mergeCell ref="G37:I37"/>
    <mergeCell ref="G42:I42"/>
    <mergeCell ref="G41:I41"/>
    <mergeCell ref="B37:C37"/>
    <mergeCell ref="B41:C41"/>
    <mergeCell ref="A1:I1"/>
    <mergeCell ref="A6:I6"/>
    <mergeCell ref="B17:C17"/>
    <mergeCell ref="A11:I11"/>
    <mergeCell ref="B12:C12"/>
    <mergeCell ref="D12:E12"/>
    <mergeCell ref="F17:H17"/>
    <mergeCell ref="C7:E7"/>
    <mergeCell ref="C8:E8"/>
    <mergeCell ref="C10:E10"/>
    <mergeCell ref="H7:I7"/>
    <mergeCell ref="D17:E17"/>
    <mergeCell ref="B13:C13"/>
    <mergeCell ref="H8:I8"/>
    <mergeCell ref="D13:E13"/>
    <mergeCell ref="G12:H12"/>
    <mergeCell ref="A15:I15"/>
    <mergeCell ref="A49:I49"/>
    <mergeCell ref="A50:I50"/>
    <mergeCell ref="C51:E51"/>
    <mergeCell ref="H51:I51"/>
    <mergeCell ref="C52:E52"/>
    <mergeCell ref="H52:I52"/>
    <mergeCell ref="A45:I45"/>
    <mergeCell ref="A46:B46"/>
    <mergeCell ref="C46:D46"/>
    <mergeCell ref="G46:H46"/>
    <mergeCell ref="A48:I48"/>
    <mergeCell ref="A58:I58"/>
    <mergeCell ref="A59:I59"/>
    <mergeCell ref="B56:C56"/>
    <mergeCell ref="D56:E56"/>
    <mergeCell ref="G56:H56"/>
    <mergeCell ref="B57:C57"/>
    <mergeCell ref="D57:E57"/>
    <mergeCell ref="G57:H57"/>
    <mergeCell ref="C53:E53"/>
    <mergeCell ref="H53:I53"/>
    <mergeCell ref="C54:E54"/>
    <mergeCell ref="H54:I54"/>
    <mergeCell ref="A55:I55"/>
    <mergeCell ref="A63:E63"/>
    <mergeCell ref="A64:A65"/>
    <mergeCell ref="B64:C64"/>
    <mergeCell ref="D64:E64"/>
    <mergeCell ref="A71:A72"/>
    <mergeCell ref="A60:I60"/>
    <mergeCell ref="B61:C61"/>
    <mergeCell ref="D61:E61"/>
    <mergeCell ref="F61:H61"/>
    <mergeCell ref="A62:I62"/>
    <mergeCell ref="B77:I77"/>
    <mergeCell ref="B78:E78"/>
    <mergeCell ref="B79:I79"/>
    <mergeCell ref="B81:C81"/>
    <mergeCell ref="G81:I81"/>
    <mergeCell ref="F72:I72"/>
    <mergeCell ref="A73:I73"/>
    <mergeCell ref="A74:I74"/>
    <mergeCell ref="A75:B75"/>
    <mergeCell ref="B76:D76"/>
    <mergeCell ref="F76:I76"/>
    <mergeCell ref="A89:I89"/>
    <mergeCell ref="A90:B90"/>
    <mergeCell ref="C90:D90"/>
    <mergeCell ref="G90:H90"/>
    <mergeCell ref="A92:I92"/>
    <mergeCell ref="B85:C85"/>
    <mergeCell ref="G85:I85"/>
    <mergeCell ref="B86:C86"/>
    <mergeCell ref="G86:I86"/>
    <mergeCell ref="A87:I87"/>
    <mergeCell ref="C97:E97"/>
    <mergeCell ref="H97:I97"/>
    <mergeCell ref="C98:E98"/>
    <mergeCell ref="H98:I98"/>
    <mergeCell ref="A99:I99"/>
    <mergeCell ref="A93:I93"/>
    <mergeCell ref="A94:I94"/>
    <mergeCell ref="C95:E95"/>
    <mergeCell ref="H95:I95"/>
    <mergeCell ref="C96:E96"/>
    <mergeCell ref="H96:I96"/>
    <mergeCell ref="A104:I104"/>
    <mergeCell ref="B105:C105"/>
    <mergeCell ref="D105:E105"/>
    <mergeCell ref="F105:H105"/>
    <mergeCell ref="A106:I106"/>
    <mergeCell ref="A102:I102"/>
    <mergeCell ref="A103:I103"/>
    <mergeCell ref="B100:C100"/>
    <mergeCell ref="D100:E100"/>
    <mergeCell ref="G100:H100"/>
    <mergeCell ref="B101:C101"/>
    <mergeCell ref="D101:E101"/>
    <mergeCell ref="G101:H101"/>
    <mergeCell ref="F116:I116"/>
    <mergeCell ref="A117:I117"/>
    <mergeCell ref="A118:I118"/>
    <mergeCell ref="A119:B119"/>
    <mergeCell ref="B120:D120"/>
    <mergeCell ref="F120:I120"/>
    <mergeCell ref="A107:E107"/>
    <mergeCell ref="A108:A109"/>
    <mergeCell ref="B108:C108"/>
    <mergeCell ref="D108:E108"/>
    <mergeCell ref="A115:A116"/>
    <mergeCell ref="B129:C129"/>
    <mergeCell ref="G129:I129"/>
    <mergeCell ref="B130:C130"/>
    <mergeCell ref="G130:I130"/>
    <mergeCell ref="A131:I131"/>
    <mergeCell ref="B121:I121"/>
    <mergeCell ref="B122:E122"/>
    <mergeCell ref="B123:I123"/>
    <mergeCell ref="B125:C125"/>
    <mergeCell ref="G125:I125"/>
  </mergeCells>
  <pageMargins left="0.86614173228346458" right="0.39370078740157483" top="0.78740157480314965" bottom="0.78740157480314965" header="0.39370078740157483" footer="0.39370078740157483"/>
  <pageSetup paperSize="9" fitToHeight="0" orientation="portrait" r:id="rId1"/>
  <headerFooter>
    <oddHeader>&amp;CYOG ELECTRO PROCESS PVT. LTD. (CALIBRATION LAB)</oddHeader>
    <oddFooter>&amp;LF-TECH/30/R2      &amp;RPage 1 of 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view="pageLayout" topLeftCell="A13" zoomScaleNormal="100" workbookViewId="0">
      <selection activeCell="D24" sqref="D24:E24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</cols>
  <sheetData>
    <row r="1" spans="1:9" ht="21" x14ac:dyDescent="0.4">
      <c r="A1" s="77" t="s">
        <v>44</v>
      </c>
      <c r="B1" s="78"/>
      <c r="C1" s="78"/>
      <c r="D1" s="78"/>
      <c r="E1" s="78"/>
      <c r="F1" s="78"/>
      <c r="G1" s="78"/>
      <c r="H1" s="78"/>
      <c r="I1" s="79"/>
    </row>
    <row r="2" spans="1:9" x14ac:dyDescent="0.3">
      <c r="A2" s="80" t="s">
        <v>22</v>
      </c>
      <c r="B2" s="81"/>
      <c r="C2" s="82" t="s">
        <v>77</v>
      </c>
      <c r="D2" s="82"/>
      <c r="E2" s="24"/>
      <c r="F2" s="25"/>
      <c r="G2" s="81" t="s">
        <v>23</v>
      </c>
      <c r="H2" s="81"/>
      <c r="I2" s="26">
        <v>46017</v>
      </c>
    </row>
    <row r="3" spans="1:9" x14ac:dyDescent="0.3">
      <c r="A3" s="34"/>
      <c r="B3" s="35"/>
      <c r="C3" s="17"/>
      <c r="D3" s="17"/>
      <c r="E3" s="12"/>
      <c r="F3" s="36"/>
      <c r="G3" s="37"/>
      <c r="H3" s="37"/>
      <c r="I3" s="38"/>
    </row>
    <row r="4" spans="1:9" x14ac:dyDescent="0.3">
      <c r="A4" s="59" t="s">
        <v>26</v>
      </c>
      <c r="B4" s="60"/>
      <c r="C4" s="60"/>
      <c r="D4" s="60"/>
      <c r="E4" s="60"/>
      <c r="F4" s="60"/>
      <c r="G4" s="60"/>
      <c r="H4" s="60"/>
      <c r="I4" s="61"/>
    </row>
    <row r="5" spans="1:9" x14ac:dyDescent="0.3">
      <c r="A5" s="59" t="s">
        <v>40</v>
      </c>
      <c r="B5" s="60"/>
      <c r="C5" s="60"/>
      <c r="D5" s="60"/>
      <c r="E5" s="60"/>
      <c r="F5" s="60"/>
      <c r="G5" s="60"/>
      <c r="H5" s="60"/>
      <c r="I5" s="61"/>
    </row>
    <row r="6" spans="1:9" x14ac:dyDescent="0.3">
      <c r="A6" s="59" t="s">
        <v>25</v>
      </c>
      <c r="B6" s="60"/>
      <c r="C6" s="60"/>
      <c r="D6" s="60"/>
      <c r="E6" s="60"/>
      <c r="F6" s="60"/>
      <c r="G6" s="60"/>
      <c r="H6" s="60"/>
      <c r="I6" s="61"/>
    </row>
    <row r="7" spans="1:9" x14ac:dyDescent="0.3">
      <c r="A7" s="1"/>
      <c r="B7" s="8" t="s">
        <v>0</v>
      </c>
      <c r="C7" s="54" t="s">
        <v>47</v>
      </c>
      <c r="D7" s="54"/>
      <c r="E7" s="54"/>
      <c r="G7" s="8" t="s">
        <v>3</v>
      </c>
      <c r="H7" s="54" t="s">
        <v>48</v>
      </c>
      <c r="I7" s="55"/>
    </row>
    <row r="8" spans="1:9" x14ac:dyDescent="0.3">
      <c r="A8" s="1"/>
      <c r="B8" s="8" t="s">
        <v>1</v>
      </c>
      <c r="C8" s="54" t="s">
        <v>52</v>
      </c>
      <c r="D8" s="54"/>
      <c r="E8" s="54"/>
      <c r="G8" s="8" t="s">
        <v>4</v>
      </c>
      <c r="H8" s="54" t="s">
        <v>49</v>
      </c>
      <c r="I8" s="55"/>
    </row>
    <row r="9" spans="1:9" x14ac:dyDescent="0.3">
      <c r="A9" s="1"/>
      <c r="B9" t="s">
        <v>2</v>
      </c>
      <c r="C9" s="54" t="s">
        <v>51</v>
      </c>
      <c r="D9" s="54"/>
      <c r="E9" s="54"/>
      <c r="G9" t="s">
        <v>19</v>
      </c>
      <c r="H9" s="54" t="s">
        <v>50</v>
      </c>
      <c r="I9" s="55"/>
    </row>
    <row r="10" spans="1:9" x14ac:dyDescent="0.3">
      <c r="A10" s="1"/>
      <c r="B10" t="s">
        <v>24</v>
      </c>
      <c r="C10" s="73" t="s">
        <v>75</v>
      </c>
      <c r="D10" s="54"/>
      <c r="E10" s="54"/>
      <c r="H10" s="54"/>
      <c r="I10" s="55"/>
    </row>
    <row r="11" spans="1:9" x14ac:dyDescent="0.3">
      <c r="A11" s="74" t="s">
        <v>32</v>
      </c>
      <c r="B11" s="75"/>
      <c r="C11" s="75"/>
      <c r="D11" s="75"/>
      <c r="E11" s="75"/>
      <c r="F11" s="75"/>
      <c r="G11" s="75"/>
      <c r="H11" s="75"/>
      <c r="I11" s="76"/>
    </row>
    <row r="12" spans="1:9" ht="28.8" x14ac:dyDescent="0.3">
      <c r="A12" s="5" t="s">
        <v>42</v>
      </c>
      <c r="B12" s="69" t="s">
        <v>5</v>
      </c>
      <c r="C12" s="70"/>
      <c r="D12" s="69" t="s">
        <v>17</v>
      </c>
      <c r="E12" s="70"/>
      <c r="F12" s="5" t="s">
        <v>6</v>
      </c>
      <c r="G12" s="69" t="s">
        <v>8</v>
      </c>
      <c r="H12" s="70"/>
      <c r="I12" s="5" t="s">
        <v>7</v>
      </c>
    </row>
    <row r="13" spans="1:9" ht="30" customHeight="1" x14ac:dyDescent="0.3">
      <c r="A13" s="47">
        <v>1</v>
      </c>
      <c r="B13" s="71" t="s">
        <v>69</v>
      </c>
      <c r="C13" s="72"/>
      <c r="D13" s="71" t="s">
        <v>70</v>
      </c>
      <c r="E13" s="72"/>
      <c r="F13" s="47" t="s">
        <v>18</v>
      </c>
      <c r="G13" s="71" t="s">
        <v>71</v>
      </c>
      <c r="H13" s="72"/>
      <c r="I13" s="48">
        <v>46027</v>
      </c>
    </row>
    <row r="14" spans="1:9" ht="15" customHeight="1" x14ac:dyDescent="0.3">
      <c r="A14" s="66" t="s">
        <v>63</v>
      </c>
      <c r="B14" s="67"/>
      <c r="C14" s="67"/>
      <c r="D14" s="67"/>
      <c r="E14" s="67"/>
      <c r="F14" s="67"/>
      <c r="G14" s="67"/>
      <c r="H14" s="67"/>
      <c r="I14" s="68"/>
    </row>
    <row r="15" spans="1:9" x14ac:dyDescent="0.3">
      <c r="A15" s="59" t="s">
        <v>72</v>
      </c>
      <c r="B15" s="60"/>
      <c r="C15" s="60"/>
      <c r="D15" s="60"/>
      <c r="E15" s="60"/>
      <c r="F15" s="60"/>
      <c r="G15" s="60"/>
      <c r="H15" s="60"/>
      <c r="I15" s="61"/>
    </row>
    <row r="16" spans="1:9" x14ac:dyDescent="0.3">
      <c r="A16" s="59" t="s">
        <v>20</v>
      </c>
      <c r="B16" s="60"/>
      <c r="C16" s="60"/>
      <c r="D16" s="60"/>
      <c r="E16" s="60"/>
      <c r="F16" s="60"/>
      <c r="G16" s="60"/>
      <c r="H16" s="60"/>
      <c r="I16" s="61"/>
    </row>
    <row r="17" spans="1:9" ht="15" customHeight="1" x14ac:dyDescent="0.3">
      <c r="A17" s="1"/>
      <c r="B17" s="64" t="s">
        <v>12</v>
      </c>
      <c r="C17" s="64"/>
      <c r="D17" s="54" t="s">
        <v>9</v>
      </c>
      <c r="E17" s="54"/>
      <c r="F17" s="65" t="s">
        <v>10</v>
      </c>
      <c r="G17" s="65"/>
      <c r="H17" s="65"/>
      <c r="I17" s="2" t="s">
        <v>11</v>
      </c>
    </row>
    <row r="18" spans="1:9" x14ac:dyDescent="0.3">
      <c r="A18" s="59" t="s">
        <v>33</v>
      </c>
      <c r="B18" s="60"/>
      <c r="C18" s="60"/>
      <c r="D18" s="60"/>
      <c r="E18" s="60"/>
      <c r="F18" s="60"/>
      <c r="G18" s="60"/>
      <c r="H18" s="60"/>
      <c r="I18" s="61"/>
    </row>
    <row r="19" spans="1:9" x14ac:dyDescent="0.3">
      <c r="A19" s="41"/>
      <c r="B19" s="42"/>
      <c r="C19" s="43"/>
      <c r="D19" s="42"/>
      <c r="E19" s="43"/>
      <c r="I19" s="2"/>
    </row>
    <row r="20" spans="1:9" x14ac:dyDescent="0.3">
      <c r="A20" s="41"/>
      <c r="B20" s="83" t="s">
        <v>65</v>
      </c>
      <c r="C20" s="83"/>
      <c r="D20" s="83"/>
      <c r="E20" s="83"/>
      <c r="F20" s="83"/>
      <c r="G20" s="83"/>
      <c r="I20" s="2"/>
    </row>
    <row r="21" spans="1:9" ht="32.25" customHeight="1" x14ac:dyDescent="0.3">
      <c r="A21" s="41"/>
      <c r="B21" s="83" t="s">
        <v>45</v>
      </c>
      <c r="C21" s="83"/>
      <c r="D21" s="84" t="s">
        <v>66</v>
      </c>
      <c r="E21" s="84"/>
      <c r="F21" s="84" t="s">
        <v>67</v>
      </c>
      <c r="G21" s="85"/>
      <c r="I21" s="2"/>
    </row>
    <row r="22" spans="1:9" x14ac:dyDescent="0.3">
      <c r="A22" s="41"/>
      <c r="B22" s="83">
        <v>50</v>
      </c>
      <c r="C22" s="83"/>
      <c r="D22" s="84" t="s">
        <v>46</v>
      </c>
      <c r="E22" s="84"/>
      <c r="F22" s="86">
        <v>0.10555555555555556</v>
      </c>
      <c r="G22" s="87"/>
      <c r="I22" s="2"/>
    </row>
    <row r="23" spans="1:9" x14ac:dyDescent="0.3">
      <c r="A23" s="41"/>
      <c r="B23" s="83">
        <v>100</v>
      </c>
      <c r="C23" s="83"/>
      <c r="D23" s="86">
        <v>9.0277777777777769E-3</v>
      </c>
      <c r="E23" s="87"/>
      <c r="F23" s="86">
        <v>4.3055555555555555E-2</v>
      </c>
      <c r="G23" s="87"/>
      <c r="I23" s="2"/>
    </row>
    <row r="24" spans="1:9" x14ac:dyDescent="0.3">
      <c r="A24" s="40"/>
      <c r="B24" s="83">
        <v>150</v>
      </c>
      <c r="C24" s="83"/>
      <c r="D24" s="86">
        <v>1.3194444444444444E-2</v>
      </c>
      <c r="E24" s="87"/>
      <c r="F24" s="88">
        <v>2.013888888888889E-2</v>
      </c>
      <c r="G24" s="85"/>
      <c r="I24" s="2"/>
    </row>
    <row r="25" spans="1:9" x14ac:dyDescent="0.3">
      <c r="A25" s="40"/>
      <c r="B25" s="83">
        <v>200</v>
      </c>
      <c r="C25" s="83"/>
      <c r="D25" s="86">
        <v>3.0555555555555555E-2</v>
      </c>
      <c r="E25" s="87"/>
      <c r="F25" s="84" t="s">
        <v>46</v>
      </c>
      <c r="G25" s="85"/>
      <c r="I25" s="2"/>
    </row>
    <row r="26" spans="1:9" x14ac:dyDescent="0.3">
      <c r="A26" s="40"/>
      <c r="B26" s="44"/>
      <c r="C26" s="45"/>
      <c r="D26" s="44"/>
      <c r="E26" s="45"/>
      <c r="F26" s="33"/>
      <c r="G26" s="33"/>
      <c r="H26" s="33"/>
      <c r="I26" s="39"/>
    </row>
    <row r="27" spans="1:9" x14ac:dyDescent="0.3">
      <c r="A27" s="59" t="s">
        <v>39</v>
      </c>
      <c r="B27" s="60"/>
      <c r="C27" s="60"/>
      <c r="D27" s="60"/>
      <c r="E27" s="60"/>
      <c r="F27" s="60"/>
      <c r="G27" s="60"/>
      <c r="H27" s="60"/>
      <c r="I27" s="61"/>
    </row>
    <row r="28" spans="1:9" x14ac:dyDescent="0.3">
      <c r="A28" s="59" t="s">
        <v>34</v>
      </c>
      <c r="B28" s="60"/>
      <c r="C28" s="9"/>
      <c r="D28" s="23"/>
      <c r="E28" s="9"/>
      <c r="F28" s="9"/>
      <c r="G28" s="9"/>
      <c r="H28" s="9"/>
      <c r="I28" s="14"/>
    </row>
    <row r="29" spans="1:9" x14ac:dyDescent="0.3">
      <c r="A29" s="31"/>
      <c r="B29" s="54" t="s">
        <v>64</v>
      </c>
      <c r="C29" s="54"/>
      <c r="D29" s="54"/>
      <c r="E29" s="46" t="s">
        <v>81</v>
      </c>
      <c r="F29" s="54" t="s">
        <v>68</v>
      </c>
      <c r="G29" s="54"/>
      <c r="H29" s="54"/>
      <c r="I29" s="55"/>
    </row>
    <row r="30" spans="1:9" x14ac:dyDescent="0.3">
      <c r="A30" s="32"/>
      <c r="B30" s="54" t="s">
        <v>76</v>
      </c>
      <c r="C30" s="54"/>
      <c r="D30" s="54"/>
      <c r="E30" s="54"/>
      <c r="F30" s="54"/>
      <c r="G30" s="54"/>
      <c r="H30" s="54"/>
      <c r="I30" s="55"/>
    </row>
    <row r="31" spans="1:9" x14ac:dyDescent="0.3">
      <c r="A31" s="1"/>
      <c r="B31" s="8"/>
      <c r="C31" s="8"/>
      <c r="D31" s="8"/>
      <c r="E31" s="8"/>
      <c r="F31" s="8"/>
      <c r="G31" s="8"/>
      <c r="H31" s="8"/>
      <c r="I31" s="15"/>
    </row>
    <row r="32" spans="1:9" x14ac:dyDescent="0.3">
      <c r="A32" s="1"/>
      <c r="B32" s="49" t="s">
        <v>35</v>
      </c>
      <c r="C32" s="49"/>
      <c r="G32" s="49" t="s">
        <v>13</v>
      </c>
      <c r="H32" s="49"/>
      <c r="I32" s="50"/>
    </row>
    <row r="33" spans="1:9" x14ac:dyDescent="0.3">
      <c r="A33" s="1"/>
      <c r="B33" s="3"/>
      <c r="C33" s="3"/>
      <c r="G33" s="3"/>
      <c r="H33" s="3"/>
      <c r="I33" s="16"/>
    </row>
    <row r="34" spans="1:9" x14ac:dyDescent="0.3">
      <c r="A34" s="1"/>
      <c r="I34" s="2"/>
    </row>
    <row r="35" spans="1:9" x14ac:dyDescent="0.3">
      <c r="A35" s="1"/>
      <c r="I35" s="2"/>
    </row>
    <row r="36" spans="1:9" x14ac:dyDescent="0.3">
      <c r="A36" s="1"/>
      <c r="B36" s="49" t="s">
        <v>36</v>
      </c>
      <c r="C36" s="49"/>
      <c r="G36" s="49" t="s">
        <v>15</v>
      </c>
      <c r="H36" s="49"/>
      <c r="I36" s="50"/>
    </row>
    <row r="37" spans="1:9" x14ac:dyDescent="0.3">
      <c r="A37" s="1"/>
      <c r="B37" s="49" t="s">
        <v>14</v>
      </c>
      <c r="C37" s="49"/>
      <c r="G37" s="49" t="s">
        <v>16</v>
      </c>
      <c r="H37" s="49"/>
      <c r="I37" s="50"/>
    </row>
    <row r="38" spans="1:9" x14ac:dyDescent="0.3">
      <c r="A38" s="51" t="s">
        <v>37</v>
      </c>
      <c r="B38" s="52"/>
      <c r="C38" s="52"/>
      <c r="D38" s="52"/>
      <c r="E38" s="52"/>
      <c r="F38" s="52"/>
      <c r="G38" s="52"/>
      <c r="H38" s="52"/>
      <c r="I38" s="53"/>
    </row>
  </sheetData>
  <mergeCells count="57">
    <mergeCell ref="A14:I14"/>
    <mergeCell ref="A15:I15"/>
    <mergeCell ref="A16:I16"/>
    <mergeCell ref="B17:C17"/>
    <mergeCell ref="B13:C13"/>
    <mergeCell ref="D13:E13"/>
    <mergeCell ref="G13:H13"/>
    <mergeCell ref="D17:E17"/>
    <mergeCell ref="F17:H17"/>
    <mergeCell ref="H9:I9"/>
    <mergeCell ref="A1:I1"/>
    <mergeCell ref="A2:B2"/>
    <mergeCell ref="C2:D2"/>
    <mergeCell ref="G2:H2"/>
    <mergeCell ref="A4:I4"/>
    <mergeCell ref="A5:I5"/>
    <mergeCell ref="A6:I6"/>
    <mergeCell ref="C7:E7"/>
    <mergeCell ref="H7:I7"/>
    <mergeCell ref="C8:E8"/>
    <mergeCell ref="H8:I8"/>
    <mergeCell ref="C9:E9"/>
    <mergeCell ref="H10:I10"/>
    <mergeCell ref="A11:I11"/>
    <mergeCell ref="B12:C12"/>
    <mergeCell ref="D12:E12"/>
    <mergeCell ref="G12:H12"/>
    <mergeCell ref="C10:E10"/>
    <mergeCell ref="A27:I27"/>
    <mergeCell ref="A28:B28"/>
    <mergeCell ref="F29:I29"/>
    <mergeCell ref="B22:C22"/>
    <mergeCell ref="D22:E22"/>
    <mergeCell ref="F22:G22"/>
    <mergeCell ref="B23:C23"/>
    <mergeCell ref="D23:E23"/>
    <mergeCell ref="F23:G23"/>
    <mergeCell ref="B29:D29"/>
    <mergeCell ref="B25:C25"/>
    <mergeCell ref="D25:E25"/>
    <mergeCell ref="F25:G25"/>
    <mergeCell ref="B30:I30"/>
    <mergeCell ref="A18:I18"/>
    <mergeCell ref="B37:C37"/>
    <mergeCell ref="G37:I37"/>
    <mergeCell ref="A38:I38"/>
    <mergeCell ref="B32:C32"/>
    <mergeCell ref="G32:I32"/>
    <mergeCell ref="B36:C36"/>
    <mergeCell ref="G36:I36"/>
    <mergeCell ref="B20:G20"/>
    <mergeCell ref="B21:C21"/>
    <mergeCell ref="D21:E21"/>
    <mergeCell ref="F21:G21"/>
    <mergeCell ref="B24:C24"/>
    <mergeCell ref="D24:E24"/>
    <mergeCell ref="F24:G24"/>
  </mergeCells>
  <printOptions horizontalCentered="1"/>
  <pageMargins left="0.86614173228346458" right="0.39370078740157483" top="0.78740157480314965" bottom="0.78740157480314965" header="0.39370078740157483" footer="0.39370078740157483"/>
  <pageSetup paperSize="9" orientation="portrait" r:id="rId1"/>
  <headerFooter>
    <oddHeader>&amp;CYOG ELECTRO PROCESS PVT. LTD. (CALIBRATION LAB)</oddHeader>
    <oddFooter>&amp;LF-TECH/32/R2      &amp;RPage 1 of 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50-100-200</vt:lpstr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CAL LAB</cp:lastModifiedBy>
  <cp:lastPrinted>2025-06-14T14:28:35Z</cp:lastPrinted>
  <dcterms:created xsi:type="dcterms:W3CDTF">2022-12-07T08:38:07Z</dcterms:created>
  <dcterms:modified xsi:type="dcterms:W3CDTF">2025-12-22T10:02:55Z</dcterms:modified>
</cp:coreProperties>
</file>